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5a127fbaa740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atine catalog" sheetId="1" r:id="R8cddf3ab09144023"/>
    <x:sheet xmlns:r="http://schemas.openxmlformats.org/officeDocument/2006/relationships" name="Method" sheetId="2" r:id="Rde6101f13ff64e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&quot;₹&quot;#,##0.00"/>
    <x:numFmt numFmtId="202" formatCode="yyyy-mm-dd"/>
  </x:numFmts>
  <x:fonts count="8">
    <x:font>
      <x:sz val="11"/>
      <x:name val="Carlito"/>
    </x:font>
    <x:font>
      <x:sz val="10"/>
      <x:color rgb="FF20362B"/>
      <x:name val="Arial"/>
    </x:font>
    <x:font>
      <x:b/>
      <x:sz val="20"/>
      <x:color rgb="FFFFFFFF"/>
      <x:name val="Arial"/>
    </x:font>
    <x:font>
      <x:sz val="10"/>
      <x:color rgb="FF627561"/>
      <x:name val="Arial"/>
    </x:font>
    <x:font>
      <x:b/>
      <x:sz val="10"/>
      <x:color rgb="FFFFFFFF"/>
      <x:name val="Arial"/>
    </x:font>
    <x:font>
      <x:sz val="10"/>
      <x:color rgb="FF1757A6"/>
      <x:name val="Arial"/>
    </x:font>
    <x:font>
      <x:sz val="11"/>
      <x:color rgb="FF20362B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4F38"/>
      </x:patternFill>
    </x:fill>
    <x:fill>
      <x:patternFill patternType="solid">
        <x:fgColor rgb="FFEAF0E3"/>
      </x:patternFill>
    </x:fill>
    <x:fill>
      <x:patternFill patternType="solid">
        <x:fgColor rgb="FFEAF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b580fd5df1424c" /><Relationship Type="http://schemas.openxmlformats.org/officeDocument/2006/relationships/theme" Target="/xl/theme/theme1.xml" Id="R5c15f05ae9a64226" /><Relationship Type="http://schemas.openxmlformats.org/officeDocument/2006/relationships/sharedStrings" Target="/xl/sharedStrings.xml" Id="Rc4d5f31b21dd4097" /><Relationship Type="http://schemas.openxmlformats.org/officeDocument/2006/relationships/worksheet" Target="/xl/worksheets/sheet1.xml" Id="R8cddf3ab09144023" /><Relationship Type="http://schemas.openxmlformats.org/officeDocument/2006/relationships/worksheet" Target="/xl/worksheets/sheet2.xml" Id="Rde6101f13ff64e1e" /></Relationships>
</file>

<file path=xl/tables/table1.xml><?xml version="1.0" encoding="utf-8"?>
<x:table xmlns:x="http://schemas.openxmlformats.org/spreadsheetml/2006/main" id="1" name="CreatineCatalog" displayName="CreatineCatalog" ref="A5:V199" headerRowCount="1" totalsRowCount="0" totalsRowShown="0">
  <x:autoFilter ref="A5:V199"/>
  <x:tableColumns count="22">
    <x:tableColumn id="1" name="Brand"/>
    <x:tableColumn id="2" name="Product name"/>
    <x:tableColumn id="3" name="Chemical form"/>
    <x:tableColumn id="4" name="Processing subclass"/>
    <x:tableColumn id="5" name="Ingredient trademark"/>
    <x:tableColumn id="6" name="Formulation"/>
    <x:tableColumn id="7" name="Flavour"/>
    <x:tableColumn id="8" name="Packaging"/>
    <x:tableColumn id="9" name="Net pack weight (g)"/>
    <x:tableColumn id="10" name="Pack price (INR)"/>
    <x:tableColumn id="11" name="Cost / g powder (INR)"/>
    <x:tableColumn id="12" name="Labelled compound (g / 100g)"/>
    <x:tableColumn id="13" name="Cost / g compound (INR)"/>
    <x:tableColumn id="14" name="Cost / 3g compound (INR)"/>
    <x:tableColumn id="15" name="Scoop size (g)"/>
    <x:tableColumn id="16" name="Serving size (g)"/>
    <x:tableColumn id="17" name="Compound per serving (g)"/>
    <x:tableColumn id="18" name="Energy (kcal / 100g)"/>
    <x:tableColumn id="19" name="Availability"/>
    <x:tableColumn id="20" name="Checked date"/>
    <x:tableColumn id="21" name="Record ID"/>
    <x:tableColumn id="22" name="Evidence / limita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cefc2eccc54f6f" /></Relationships>
</file>

<file path=xl/worksheets/sheet1.xml><?xml version="1.0" encoding="utf-8"?>
<x:worksheet xmlns:x="http://schemas.openxmlformats.org/spreadsheetml/2006/main">
  <x:sheetPr>
    <x:tabColor rgb="FF254F3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19" max="19" width="24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20" max="20" width="19" hidden="0" customWidth="1"/>
    <x:col min="2" max="2" width="49" hidden="0" customWidth="1"/>
    <x:col min="21" max="21" width="14" hidden="0" customWidth="1"/>
    <x:col min="22" max="22" width="75" hidden="0" customWidth="1"/>
    <x:col min="24" max="24" width="65" hidden="0" customWidth="1"/>
    <x:col min="25" max="25" width="65" hidden="0" customWidth="1"/>
    <x:col min="26" max="26" width="65" hidden="0" customWidth="1"/>
    <x:col min="27" max="27" width="65" hidden="0" customWidth="1"/>
  </x:cols>
  <x:sheetData>
    <x:row r="1" ht="38" customHeight="1">
      <x:c r="A1" s="5" t="str">
        <x:v>INDIA CREATINE CATALOG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1"/>
      <x:c r="X1" s="1"/>
      <x:c r="Y1" s="1"/>
      <x:c r="Z1" s="1"/>
      <x:c r="AA1" s="1"/>
    </x:row>
    <x:row r="2" ht="28" customHeight="1">
      <x:c r="A2" s="6" t="str">
        <x:v>17 brands | 194 exact single-pack offers | Research checked 25 October 2026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1"/>
      <x:c r="X2" s="1"/>
      <x:c r="Y2" s="1"/>
      <x:c r="Z2" s="1"/>
      <x:c r="AA2" s="1"/>
    </x:row>
    <x:row r="3" ht="28" customHeight="1">
      <x:c r="A3" s="7" t="str">
        <x:v>Compound cost uses the labelled chemical form, not free-creatine equivalents. Blank means unverified. Filter rows to compare exact sizes. See Method.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1"/>
      <x:c r="X3" s="1"/>
      <x:c r="Y3" s="1"/>
      <x:c r="Z3" s="1"/>
      <x:c r="AA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</x:row>
    <x:row r="5" ht="48" customHeight="1">
      <x:c r="A5" s="9" t="str">
        <x:v>Brand</x:v>
      </x:c>
      <x:c r="B5" s="9" t="str">
        <x:v>Product name</x:v>
      </x:c>
      <x:c r="C5" s="9" t="str">
        <x:v>Chemical form</x:v>
      </x:c>
      <x:c r="D5" s="9" t="str">
        <x:v>Processing subclass</x:v>
      </x:c>
      <x:c r="E5" s="9" t="str">
        <x:v>Ingredient trademark</x:v>
      </x:c>
      <x:c r="F5" s="9" t="str">
        <x:v>Formulation</x:v>
      </x:c>
      <x:c r="G5" s="9" t="str">
        <x:v>Flavour</x:v>
      </x:c>
      <x:c r="H5" s="9" t="str">
        <x:v>Packaging</x:v>
      </x:c>
      <x:c r="I5" s="9" t="str">
        <x:v>Net pack weight (g)</x:v>
      </x:c>
      <x:c r="J5" s="9" t="str">
        <x:v>Pack price (INR)</x:v>
      </x:c>
      <x:c r="K5" s="9" t="str">
        <x:v>Cost / g powder (INR)</x:v>
      </x:c>
      <x:c r="L5" s="9" t="str">
        <x:v>Labelled compound (g / 100g)</x:v>
      </x:c>
      <x:c r="M5" s="9" t="str">
        <x:v>Cost / g compound (INR)</x:v>
      </x:c>
      <x:c r="N5" s="9" t="str">
        <x:v>Cost / 3g compound (INR)</x:v>
      </x:c>
      <x:c r="O5" s="9" t="str">
        <x:v>Scoop size (g)</x:v>
      </x:c>
      <x:c r="P5" s="9" t="str">
        <x:v>Serving size (g)</x:v>
      </x:c>
      <x:c r="Q5" s="9" t="str">
        <x:v>Compound per serving (g)</x:v>
      </x:c>
      <x:c r="R5" s="9" t="str">
        <x:v>Energy (kcal / 100g)</x:v>
      </x:c>
      <x:c r="S5" s="9" t="str">
        <x:v>Availability</x:v>
      </x:c>
      <x:c r="T5" s="9" t="str">
        <x:v>Checked date</x:v>
      </x:c>
      <x:c r="U5" s="9" t="str">
        <x:v>Record ID</x:v>
      </x:c>
      <x:c r="V5" s="9" t="str">
        <x:v>Evidence / limitations</x:v>
      </x:c>
      <x:c r="W5" s="2"/>
      <x:c r="X5" s="9" t="str">
        <x:v>Product / price source URL</x:v>
      </x:c>
      <x:c r="Y5" s="9" t="str">
        <x:v>Nutrition source URL</x:v>
      </x:c>
      <x:c r="Z5" s="9" t="str">
        <x:v>Quantity calculation basis</x:v>
      </x:c>
      <x:c r="AA5" s="9" t="str">
        <x:v>Energy basis</x:v>
      </x:c>
    </x:row>
    <x:row r="6" ht="44" customHeight="1">
      <x:c r="A6" s="3" t="str">
        <x:v>AS-IT-IS Nutrition</x:v>
      </x:c>
      <x:c r="B6" s="3" t="str">
        <x:v>AS-IT-IS ATOM Creasure® Creatine Monohydrate</x:v>
      </x:c>
      <x:c r="C6" s="3" t="str">
        <x:v>Monohydrate</x:v>
      </x:c>
      <x:c r="D6" s="3" t="str">
        <x:v>Micronized</x:v>
      </x:c>
      <x:c r="E6" s="3" t="str">
        <x:v>Creasure®</x:v>
      </x:c>
      <x:c r="F6" s="3" t="str">
        <x:v>Single ingredient</x:v>
      </x:c>
      <x:c r="G6" s="3" t="str">
        <x:v>Unflavoured</x:v>
      </x:c>
      <x:c r="H6" s="3" t="str">
        <x:v>Standard pack</x:v>
      </x:c>
      <x:c r="I6" s="13" t="n">
        <x:v>100</x:v>
      </x:c>
      <x:c r="J6" s="14" t="n">
        <x:v>515</x:v>
      </x:c>
      <x:c r="K6" s="11" t="n">
        <x:f>J6/I6</x:f>
        <x:v>5.15</x:v>
      </x:c>
      <x:c r="L6" s="13" t="n">
        <x:v>100</x:v>
      </x:c>
      <x:c r="M6" s="15" t="n">
        <x:f>IF(OR(L6="",L6=0),"",J6/(I6*L6/100))</x:f>
        <x:v>5.15</x:v>
      </x:c>
      <x:c r="N6" s="15" t="n">
        <x:f>IF(M6="","",M6*3)</x:f>
        <x:v>15.450000000000001</x:v>
      </x:c>
      <x:c r="O6" s="10"/>
      <x:c r="P6" s="10"/>
      <x:c r="Q6" s="10" t="n">
        <x:v>3</x:v>
      </x:c>
      <x:c r="R6" s="10"/>
      <x:c r="S6" s="3" t="str">
        <x:v>In stock</x:v>
      </x:c>
      <x:c r="T6" s="12" t="d">
        <x:v>2026-10-25T00:00:00.000Z</x:v>
      </x:c>
      <x:c r="U6" s="3" t="str">
        <x:v>cr-0</x:v>
      </x:c>
      <x:c r="V6" s="3" t="str">
        <x:v>Brand states creatine monohydrate with no added flavours, colours, sweeteners or fillers.</x:v>
      </x:c>
      <x:c r="W6" s="3"/>
      <x:c r="X6" s="3" t="str">
        <x:v>https://asitisnutrition.com/products/as-it-is-atom-creasure®-100-soluble-creatine-monohydrate-micronised-unflavored-33-servings?variant=43250029264947</x:v>
      </x:c>
      <x:c r="Y6" s="3" t="str">
        <x:v>https://asitisnutrition.com/products/as-it-is-atom-creasure®-100-soluble-creatine-monohydrate-micronised-unflavored-33-servings?variant=43250029264947</x:v>
      </x:c>
      <x:c r="Z6" s="3" t="str">
        <x:v>Brand states creatine monohydrate with no added flavours, colours, sweeteners or fillers.</x:v>
      </x:c>
      <x:c r="AA6" s="3" t="str"/>
    </x:row>
    <x:row r="7" ht="44" customHeight="1">
      <x:c r="A7" s="3" t="str">
        <x:v>AS-IT-IS Nutrition</x:v>
      </x:c>
      <x:c r="B7" s="3" t="str">
        <x:v>AS-IT-IS ATOM Creasure® Creatine Monohydrate</x:v>
      </x:c>
      <x:c r="C7" s="3" t="str">
        <x:v>Monohydrate</x:v>
      </x:c>
      <x:c r="D7" s="3" t="str">
        <x:v>Micronized</x:v>
      </x:c>
      <x:c r="E7" s="3" t="str">
        <x:v>Creasure®</x:v>
      </x:c>
      <x:c r="F7" s="3" t="str">
        <x:v>Single ingredient</x:v>
      </x:c>
      <x:c r="G7" s="3" t="str">
        <x:v>Unflavoured</x:v>
      </x:c>
      <x:c r="H7" s="3" t="str">
        <x:v>Standard pack</x:v>
      </x:c>
      <x:c r="I7" s="13" t="n">
        <x:v>250</x:v>
      </x:c>
      <x:c r="J7" s="14" t="n">
        <x:v>1049</x:v>
      </x:c>
      <x:c r="K7" s="11" t="n">
        <x:f>J7/I7</x:f>
        <x:v>4.196</x:v>
      </x:c>
      <x:c r="L7" s="13" t="n">
        <x:v>100</x:v>
      </x:c>
      <x:c r="M7" s="15" t="n">
        <x:f>IF(OR(L7="",L7=0),"",J7/(I7*L7/100))</x:f>
        <x:v>4.196</x:v>
      </x:c>
      <x:c r="N7" s="15" t="n">
        <x:f>IF(M7="","",M7*3)</x:f>
        <x:v>12.588</x:v>
      </x:c>
      <x:c r="O7" s="10"/>
      <x:c r="P7" s="10"/>
      <x:c r="Q7" s="10" t="n">
        <x:v>3</x:v>
      </x:c>
      <x:c r="R7" s="10"/>
      <x:c r="S7" s="3" t="str">
        <x:v>In stock</x:v>
      </x:c>
      <x:c r="T7" s="12" t="d">
        <x:v>2026-10-25T00:00:00.000Z</x:v>
      </x:c>
      <x:c r="U7" s="3" t="str">
        <x:v>cr-1</x:v>
      </x:c>
      <x:c r="V7" s="3" t="str">
        <x:v>Brand states creatine monohydrate with no added flavours, colours, sweeteners or fillers.</x:v>
      </x:c>
      <x:c r="W7" s="3"/>
      <x:c r="X7" s="3" t="str">
        <x:v>https://asitisnutrition.com/products/as-it-is-atom-creasure®-100-soluble-creatine-monohydrate-micronised-unflavored-33-servings?variant=44057806864435</x:v>
      </x:c>
      <x:c r="Y7" s="3" t="str">
        <x:v>https://asitisnutrition.com/products/as-it-is-atom-creasure®-100-soluble-creatine-monohydrate-micronised-unflavored-33-servings?variant=44057806864435</x:v>
      </x:c>
      <x:c r="Z7" s="3" t="str">
        <x:v>Brand states creatine monohydrate with no added flavours, colours, sweeteners or fillers.</x:v>
      </x:c>
      <x:c r="AA7" s="3" t="str"/>
    </x:row>
    <x:row r="8" ht="44" customHeight="1">
      <x:c r="A8" s="3" t="str">
        <x:v>AS-IT-IS Nutrition</x:v>
      </x:c>
      <x:c r="B8" s="3" t="str">
        <x:v>AS-IT-IS ATOM Creatine Monohydrate</x:v>
      </x:c>
      <x:c r="C8" s="3" t="str">
        <x:v>Monohydrate</x:v>
      </x:c>
      <x:c r="D8" s="3" t="str">
        <x:v>Micronized</x:v>
      </x:c>
      <x:c r="E8" s="3" t="str">
        <x:v>Not specified</x:v>
      </x:c>
      <x:c r="F8" s="3" t="str">
        <x:v>Flavoured</x:v>
      </x:c>
      <x:c r="G8" s="3" t="str">
        <x:v>Blue Razz</x:v>
      </x:c>
      <x:c r="H8" s="3" t="str">
        <x:v>Standard pack</x:v>
      </x:c>
      <x:c r="I8" s="13" t="n">
        <x:v>100</x:v>
      </x:c>
      <x:c r="J8" s="14" t="n">
        <x:v>321</x:v>
      </x:c>
      <x:c r="K8" s="11" t="n">
        <x:f>J8/I8</x:f>
        <x:v>3.21</x:v>
      </x:c>
      <x:c r="L8" s="13" t="n">
        <x:v>96.77419354838709</x:v>
      </x:c>
      <x:c r="M8" s="15" t="n">
        <x:f>IF(OR(L8="",L8=0),"",J8/(I8*L8/100))</x:f>
        <x:v>3.317</x:v>
      </x:c>
      <x:c r="N8" s="15" t="n">
        <x:f>IF(M8="","",M8*3)</x:f>
        <x:v>9.951</x:v>
      </x:c>
      <x:c r="O8" s="10" t="n">
        <x:v>3.1</x:v>
      </x:c>
      <x:c r="P8" s="10" t="n">
        <x:v>3.1</x:v>
      </x:c>
      <x:c r="Q8" s="10" t="n">
        <x:v>3</x:v>
      </x:c>
      <x:c r="R8" s="10"/>
      <x:c r="S8" s="3" t="str">
        <x:v>In stock</x:v>
      </x:c>
      <x:c r="T8" s="12" t="d">
        <x:v>2026-10-25T00:00:00.000Z</x:v>
      </x:c>
      <x:c r="U8" s="3" t="str">
        <x:v>cr-2</x:v>
      </x:c>
      <x:c r="V8" s="3" t="str">
        <x:v>Family FAQ: 3g creatine monohydrate per 3.1g scoop. Flavour-specific label may differ. Product-family serving claim used across flavours; page also contains a generic 3g mixing instruction.</x:v>
      </x:c>
      <x:c r="W8" s="3"/>
      <x:c r="X8" s="3" t="str">
        <x:v>https://asitisnutrition.com/products/as-it-is-atom-creatine-monohydrate?variant=40833050411059</x:v>
      </x:c>
      <x:c r="Y8" s="3" t="str">
        <x:v>https://asitisnutrition.com/products/as-it-is-atom-creatine-monohydrate?variant=40833050411059</x:v>
      </x:c>
      <x:c r="Z8" s="3" t="str">
        <x:v>Family FAQ: 3g creatine monohydrate per 3.1g scoop. Flavour-specific label may differ.</x:v>
      </x:c>
      <x:c r="AA8" s="3" t="str"/>
    </x:row>
    <x:row r="9" ht="44" customHeight="1">
      <x:c r="A9" s="3" t="str">
        <x:v>AS-IT-IS Nutrition</x:v>
      </x:c>
      <x:c r="B9" s="3" t="str">
        <x:v>AS-IT-IS ATOM Creatine Monohydrate</x:v>
      </x:c>
      <x:c r="C9" s="3" t="str">
        <x:v>Monohydrate</x:v>
      </x:c>
      <x:c r="D9" s="3" t="str">
        <x:v>Micronized</x:v>
      </x:c>
      <x:c r="E9" s="3" t="str">
        <x:v>Not specified</x:v>
      </x:c>
      <x:c r="F9" s="3" t="str">
        <x:v>Flavoured</x:v>
      </x:c>
      <x:c r="G9" s="3" t="str">
        <x:v>Blue Razz</x:v>
      </x:c>
      <x:c r="H9" s="3" t="str">
        <x:v>Standard pack</x:v>
      </x:c>
      <x:c r="I9" s="13" t="n">
        <x:v>250</x:v>
      </x:c>
      <x:c r="J9" s="14" t="n">
        <x:v>644</x:v>
      </x:c>
      <x:c r="K9" s="11" t="n">
        <x:f>J9/I9</x:f>
        <x:v>2.576</x:v>
      </x:c>
      <x:c r="L9" s="13" t="n">
        <x:v>96.77419354838709</x:v>
      </x:c>
      <x:c r="M9" s="15" t="n">
        <x:f>IF(OR(L9="",L9=0),"",J9/(I9*L9/100))</x:f>
        <x:v>2.661866666666667</x:v>
      </x:c>
      <x:c r="N9" s="15" t="n">
        <x:f>IF(M9="","",M9*3)</x:f>
        <x:v>7.985600000000002</x:v>
      </x:c>
      <x:c r="O9" s="10" t="n">
        <x:v>3.1</x:v>
      </x:c>
      <x:c r="P9" s="10" t="n">
        <x:v>3.1</x:v>
      </x:c>
      <x:c r="Q9" s="10" t="n">
        <x:v>3</x:v>
      </x:c>
      <x:c r="R9" s="10"/>
      <x:c r="S9" s="3" t="str">
        <x:v>In stock</x:v>
      </x:c>
      <x:c r="T9" s="12" t="d">
        <x:v>2026-10-25T00:00:00.000Z</x:v>
      </x:c>
      <x:c r="U9" s="3" t="str">
        <x:v>cr-3</x:v>
      </x:c>
      <x:c r="V9" s="3" t="str">
        <x:v>Family FAQ: 3g creatine monohydrate per 3.1g scoop. Flavour-specific label may differ. Product-family serving claim used across flavours; page also contains a generic 3g mixing instruction.</x:v>
      </x:c>
      <x:c r="W9" s="3"/>
      <x:c r="X9" s="3" t="str">
        <x:v>https://asitisnutrition.com/products/as-it-is-atom-creatine-monohydrate?variant=41849271418931</x:v>
      </x:c>
      <x:c r="Y9" s="3" t="str">
        <x:v>https://asitisnutrition.com/products/as-it-is-atom-creatine-monohydrate?variant=41849271418931</x:v>
      </x:c>
      <x:c r="Z9" s="3" t="str">
        <x:v>Family FAQ: 3g creatine monohydrate per 3.1g scoop. Flavour-specific label may differ.</x:v>
      </x:c>
      <x:c r="AA9" s="3" t="str"/>
    </x:row>
    <x:row r="10" ht="44" customHeight="1">
      <x:c r="A10" s="3" t="str">
        <x:v>AS-IT-IS Nutrition</x:v>
      </x:c>
      <x:c r="B10" s="3" t="str">
        <x:v>AS-IT-IS ATOM Creatine Monohydrate</x:v>
      </x:c>
      <x:c r="C10" s="3" t="str">
        <x:v>Monohydrate</x:v>
      </x:c>
      <x:c r="D10" s="3" t="str">
        <x:v>Micronized</x:v>
      </x:c>
      <x:c r="E10" s="3" t="str">
        <x:v>Not specified</x:v>
      </x:c>
      <x:c r="F10" s="3" t="str">
        <x:v>Flavoured</x:v>
      </x:c>
      <x:c r="G10" s="3" t="str">
        <x:v>Classic Rose</x:v>
      </x:c>
      <x:c r="H10" s="3" t="str">
        <x:v>Standard pack</x:v>
      </x:c>
      <x:c r="I10" s="13" t="n">
        <x:v>100</x:v>
      </x:c>
      <x:c r="J10" s="14" t="n">
        <x:v>321</x:v>
      </x:c>
      <x:c r="K10" s="11" t="n">
        <x:f>J10/I10</x:f>
        <x:v>3.21</x:v>
      </x:c>
      <x:c r="L10" s="13" t="n">
        <x:v>96.77419354838709</x:v>
      </x:c>
      <x:c r="M10" s="15" t="n">
        <x:f>IF(OR(L10="",L10=0),"",J10/(I10*L10/100))</x:f>
        <x:v>3.317</x:v>
      </x:c>
      <x:c r="N10" s="15" t="n">
        <x:f>IF(M10="","",M10*3)</x:f>
        <x:v>9.951</x:v>
      </x:c>
      <x:c r="O10" s="10" t="n">
        <x:v>3.1</x:v>
      </x:c>
      <x:c r="P10" s="10" t="n">
        <x:v>3.1</x:v>
      </x:c>
      <x:c r="Q10" s="10" t="n">
        <x:v>3</x:v>
      </x:c>
      <x:c r="R10" s="10"/>
      <x:c r="S10" s="3" t="str">
        <x:v>In stock</x:v>
      </x:c>
      <x:c r="T10" s="12" t="d">
        <x:v>2026-10-25T00:00:00.000Z</x:v>
      </x:c>
      <x:c r="U10" s="3" t="str">
        <x:v>cr-4</x:v>
      </x:c>
      <x:c r="V10" s="3" t="str">
        <x:v>Family FAQ: 3g creatine monohydrate per 3.1g scoop. Flavour-specific label may differ. Product-family serving claim used across flavours; page also contains a generic 3g mixing instruction.</x:v>
      </x:c>
      <x:c r="W10" s="3"/>
      <x:c r="X10" s="3" t="str">
        <x:v>https://asitisnutrition.com/products/as-it-is-atom-creatine-monohydrate?variant=41589740798003</x:v>
      </x:c>
      <x:c r="Y10" s="3" t="str">
        <x:v>https://asitisnutrition.com/products/as-it-is-atom-creatine-monohydrate?variant=41589740798003</x:v>
      </x:c>
      <x:c r="Z10" s="3" t="str">
        <x:v>Family FAQ: 3g creatine monohydrate per 3.1g scoop. Flavour-specific label may differ.</x:v>
      </x:c>
      <x:c r="AA10" s="3" t="str"/>
    </x:row>
    <x:row r="11" ht="44" customHeight="1">
      <x:c r="A11" s="3" t="str">
        <x:v>AS-IT-IS Nutrition</x:v>
      </x:c>
      <x:c r="B11" s="3" t="str">
        <x:v>AS-IT-IS ATOM Creatine Monohydrate</x:v>
      </x:c>
      <x:c r="C11" s="3" t="str">
        <x:v>Monohydrate</x:v>
      </x:c>
      <x:c r="D11" s="3" t="str">
        <x:v>Micronized</x:v>
      </x:c>
      <x:c r="E11" s="3" t="str">
        <x:v>Not specified</x:v>
      </x:c>
      <x:c r="F11" s="3" t="str">
        <x:v>Flavoured</x:v>
      </x:c>
      <x:c r="G11" s="3" t="str">
        <x:v>Coffee Fusion</x:v>
      </x:c>
      <x:c r="H11" s="3" t="str">
        <x:v>Standard pack</x:v>
      </x:c>
      <x:c r="I11" s="13" t="n">
        <x:v>100</x:v>
      </x:c>
      <x:c r="J11" s="14" t="n">
        <x:v>321</x:v>
      </x:c>
      <x:c r="K11" s="11" t="n">
        <x:f>J11/I11</x:f>
        <x:v>3.21</x:v>
      </x:c>
      <x:c r="L11" s="13" t="n">
        <x:v>96.77419354838709</x:v>
      </x:c>
      <x:c r="M11" s="15" t="n">
        <x:f>IF(OR(L11="",L11=0),"",J11/(I11*L11/100))</x:f>
        <x:v>3.317</x:v>
      </x:c>
      <x:c r="N11" s="15" t="n">
        <x:f>IF(M11="","",M11*3)</x:f>
        <x:v>9.951</x:v>
      </x:c>
      <x:c r="O11" s="10" t="n">
        <x:v>3.1</x:v>
      </x:c>
      <x:c r="P11" s="10" t="n">
        <x:v>3.1</x:v>
      </x:c>
      <x:c r="Q11" s="10" t="n">
        <x:v>3</x:v>
      </x:c>
      <x:c r="R11" s="10"/>
      <x:c r="S11" s="3" t="str">
        <x:v>In stock</x:v>
      </x:c>
      <x:c r="T11" s="12" t="d">
        <x:v>2026-10-25T00:00:00.000Z</x:v>
      </x:c>
      <x:c r="U11" s="3" t="str">
        <x:v>cr-5</x:v>
      </x:c>
      <x:c r="V11" s="3" t="str">
        <x:v>Family FAQ: 3g creatine monohydrate per 3.1g scoop. Flavour-specific label may differ. Product-family serving claim used across flavours; page also contains a generic 3g mixing instruction.</x:v>
      </x:c>
      <x:c r="W11" s="3"/>
      <x:c r="X11" s="3" t="str">
        <x:v>https://asitisnutrition.com/products/as-it-is-atom-creatine-monohydrate?variant=40833048477747</x:v>
      </x:c>
      <x:c r="Y11" s="3" t="str">
        <x:v>https://asitisnutrition.com/products/as-it-is-atom-creatine-monohydrate?variant=40833048477747</x:v>
      </x:c>
      <x:c r="Z11" s="3" t="str">
        <x:v>Family FAQ: 3g creatine monohydrate per 3.1g scoop. Flavour-specific label may differ.</x:v>
      </x:c>
      <x:c r="AA11" s="3" t="str"/>
    </x:row>
    <x:row r="12" ht="44" customHeight="1">
      <x:c r="A12" s="3" t="str">
        <x:v>AS-IT-IS Nutrition</x:v>
      </x:c>
      <x:c r="B12" s="3" t="str">
        <x:v>AS-IT-IS ATOM Creatine Monohydrate</x:v>
      </x:c>
      <x:c r="C12" s="3" t="str">
        <x:v>Monohydrate</x:v>
      </x:c>
      <x:c r="D12" s="3" t="str">
        <x:v>Micronized</x:v>
      </x:c>
      <x:c r="E12" s="3" t="str">
        <x:v>Not specified</x:v>
      </x:c>
      <x:c r="F12" s="3" t="str">
        <x:v>Flavoured</x:v>
      </x:c>
      <x:c r="G12" s="3" t="str">
        <x:v>Coffee Fusion</x:v>
      </x:c>
      <x:c r="H12" s="3" t="str">
        <x:v>Standard pack</x:v>
      </x:c>
      <x:c r="I12" s="13" t="n">
        <x:v>250</x:v>
      </x:c>
      <x:c r="J12" s="14" t="n">
        <x:v>644</x:v>
      </x:c>
      <x:c r="K12" s="11" t="n">
        <x:f>J12/I12</x:f>
        <x:v>2.576</x:v>
      </x:c>
      <x:c r="L12" s="13" t="n">
        <x:v>96.77419354838709</x:v>
      </x:c>
      <x:c r="M12" s="15" t="n">
        <x:f>IF(OR(L12="",L12=0),"",J12/(I12*L12/100))</x:f>
        <x:v>2.661866666666667</x:v>
      </x:c>
      <x:c r="N12" s="15" t="n">
        <x:f>IF(M12="","",M12*3)</x:f>
        <x:v>7.985600000000002</x:v>
      </x:c>
      <x:c r="O12" s="10" t="n">
        <x:v>3.1</x:v>
      </x:c>
      <x:c r="P12" s="10" t="n">
        <x:v>3.1</x:v>
      </x:c>
      <x:c r="Q12" s="10" t="n">
        <x:v>3</x:v>
      </x:c>
      <x:c r="R12" s="10"/>
      <x:c r="S12" s="3" t="str">
        <x:v>In stock</x:v>
      </x:c>
      <x:c r="T12" s="12" t="d">
        <x:v>2026-10-25T00:00:00.000Z</x:v>
      </x:c>
      <x:c r="U12" s="3" t="str">
        <x:v>cr-6</x:v>
      </x:c>
      <x:c r="V12" s="3" t="str">
        <x:v>Family FAQ: 3g creatine monohydrate per 3.1g scoop. Flavour-specific label may differ. Product-family serving claim used across flavours; page also contains a generic 3g mixing instruction.</x:v>
      </x:c>
      <x:c r="W12" s="3"/>
      <x:c r="X12" s="3" t="str">
        <x:v>https://asitisnutrition.com/products/as-it-is-atom-creatine-monohydrate?variant=41849271386163</x:v>
      </x:c>
      <x:c r="Y12" s="3" t="str">
        <x:v>https://asitisnutrition.com/products/as-it-is-atom-creatine-monohydrate?variant=41849271386163</x:v>
      </x:c>
      <x:c r="Z12" s="3" t="str">
        <x:v>Family FAQ: 3g creatine monohydrate per 3.1g scoop. Flavour-specific label may differ.</x:v>
      </x:c>
      <x:c r="AA12" s="3" t="str"/>
    </x:row>
    <x:row r="13" ht="44" customHeight="1">
      <x:c r="A13" s="3" t="str">
        <x:v>AS-IT-IS Nutrition</x:v>
      </x:c>
      <x:c r="B13" s="3" t="str">
        <x:v>AS-IT-IS ATOM Creatine Monohydrate</x:v>
      </x:c>
      <x:c r="C13" s="3" t="str">
        <x:v>Monohydrate</x:v>
      </x:c>
      <x:c r="D13" s="3" t="str">
        <x:v>Micronized</x:v>
      </x:c>
      <x:c r="E13" s="3" t="str">
        <x:v>Not specified</x:v>
      </x:c>
      <x:c r="F13" s="3" t="str">
        <x:v>Flavoured</x:v>
      </x:c>
      <x:c r="G13" s="3" t="str">
        <x:v>Cool Spearmint</x:v>
      </x:c>
      <x:c r="H13" s="3" t="str">
        <x:v>Standard pack</x:v>
      </x:c>
      <x:c r="I13" s="13" t="n">
        <x:v>100</x:v>
      </x:c>
      <x:c r="J13" s="14" t="n">
        <x:v>321</x:v>
      </x:c>
      <x:c r="K13" s="11" t="n">
        <x:f>J13/I13</x:f>
        <x:v>3.21</x:v>
      </x:c>
      <x:c r="L13" s="13" t="n">
        <x:v>96.77419354838709</x:v>
      </x:c>
      <x:c r="M13" s="15" t="n">
        <x:f>IF(OR(L13="",L13=0),"",J13/(I13*L13/100))</x:f>
        <x:v>3.317</x:v>
      </x:c>
      <x:c r="N13" s="15" t="n">
        <x:f>IF(M13="","",M13*3)</x:f>
        <x:v>9.951</x:v>
      </x:c>
      <x:c r="O13" s="10" t="n">
        <x:v>3.1</x:v>
      </x:c>
      <x:c r="P13" s="10" t="n">
        <x:v>3.1</x:v>
      </x:c>
      <x:c r="Q13" s="10" t="n">
        <x:v>3</x:v>
      </x:c>
      <x:c r="R13" s="10"/>
      <x:c r="S13" s="3" t="str">
        <x:v>In stock</x:v>
      </x:c>
      <x:c r="T13" s="12" t="d">
        <x:v>2026-10-25T00:00:00.000Z</x:v>
      </x:c>
      <x:c r="U13" s="3" t="str">
        <x:v>cr-7</x:v>
      </x:c>
      <x:c r="V13" s="3" t="str">
        <x:v>Family FAQ: 3g creatine monohydrate per 3.1g scoop. Flavour-specific label may differ. Product-family serving claim used across flavours; page also contains a generic 3g mixing instruction.</x:v>
      </x:c>
      <x:c r="W13" s="3"/>
      <x:c r="X13" s="3" t="str">
        <x:v>https://asitisnutrition.com/products/as-it-is-atom-creatine-monohydrate?variant=41589727199283</x:v>
      </x:c>
      <x:c r="Y13" s="3" t="str">
        <x:v>https://asitisnutrition.com/products/as-it-is-atom-creatine-monohydrate?variant=41589727199283</x:v>
      </x:c>
      <x:c r="Z13" s="3" t="str">
        <x:v>Family FAQ: 3g creatine monohydrate per 3.1g scoop. Flavour-specific label may differ.</x:v>
      </x:c>
      <x:c r="AA13" s="3" t="str"/>
    </x:row>
    <x:row r="14" ht="44" customHeight="1">
      <x:c r="A14" s="3" t="str">
        <x:v>AS-IT-IS Nutrition</x:v>
      </x:c>
      <x:c r="B14" s="3" t="str">
        <x:v>AS-IT-IS ATOM Creatine Monohydrate</x:v>
      </x:c>
      <x:c r="C14" s="3" t="str">
        <x:v>Monohydrate</x:v>
      </x:c>
      <x:c r="D14" s="3" t="str">
        <x:v>Micronized</x:v>
      </x:c>
      <x:c r="E14" s="3" t="str">
        <x:v>Not specified</x:v>
      </x:c>
      <x:c r="F14" s="3" t="str">
        <x:v>Flavoured</x:v>
      </x:c>
      <x:c r="G14" s="3" t="str">
        <x:v>Fruit Punch</x:v>
      </x:c>
      <x:c r="H14" s="3" t="str">
        <x:v>Standard pack</x:v>
      </x:c>
      <x:c r="I14" s="13" t="n">
        <x:v>100</x:v>
      </x:c>
      <x:c r="J14" s="14" t="n">
        <x:v>321</x:v>
      </x:c>
      <x:c r="K14" s="11" t="n">
        <x:f>J14/I14</x:f>
        <x:v>3.21</x:v>
      </x:c>
      <x:c r="L14" s="13" t="n">
        <x:v>96.77419354838709</x:v>
      </x:c>
      <x:c r="M14" s="15" t="n">
        <x:f>IF(OR(L14="",L14=0),"",J14/(I14*L14/100))</x:f>
        <x:v>3.317</x:v>
      </x:c>
      <x:c r="N14" s="15" t="n">
        <x:f>IF(M14="","",M14*3)</x:f>
        <x:v>9.951</x:v>
      </x:c>
      <x:c r="O14" s="10" t="n">
        <x:v>3.1</x:v>
      </x:c>
      <x:c r="P14" s="10" t="n">
        <x:v>3.1</x:v>
      </x:c>
      <x:c r="Q14" s="10" t="n">
        <x:v>3</x:v>
      </x:c>
      <x:c r="R14" s="10"/>
      <x:c r="S14" s="3" t="str">
        <x:v>In stock</x:v>
      </x:c>
      <x:c r="T14" s="12" t="d">
        <x:v>2026-10-25T00:00:00.000Z</x:v>
      </x:c>
      <x:c r="U14" s="3" t="str">
        <x:v>cr-8</x:v>
      </x:c>
      <x:c r="V14" s="3" t="str">
        <x:v>Family FAQ: 3g creatine monohydrate per 3.1g scoop. Flavour-specific label may differ. Product-family serving claim used across flavours; page also contains a generic 3g mixing instruction.</x:v>
      </x:c>
      <x:c r="W14" s="3"/>
      <x:c r="X14" s="3" t="str">
        <x:v>https://asitisnutrition.com/products/as-it-is-atom-creatine-monohydrate?variant=41644593086515</x:v>
      </x:c>
      <x:c r="Y14" s="3" t="str">
        <x:v>https://asitisnutrition.com/products/as-it-is-atom-creatine-monohydrate?variant=41644593086515</x:v>
      </x:c>
      <x:c r="Z14" s="3" t="str">
        <x:v>Family FAQ: 3g creatine monohydrate per 3.1g scoop. Flavour-specific label may differ.</x:v>
      </x:c>
      <x:c r="AA14" s="3" t="str"/>
    </x:row>
    <x:row r="15" ht="44" customHeight="1">
      <x:c r="A15" s="3" t="str">
        <x:v>AS-IT-IS Nutrition</x:v>
      </x:c>
      <x:c r="B15" s="3" t="str">
        <x:v>AS-IT-IS ATOM Creatine Monohydrate</x:v>
      </x:c>
      <x:c r="C15" s="3" t="str">
        <x:v>Monohydrate</x:v>
      </x:c>
      <x:c r="D15" s="3" t="str">
        <x:v>Micronized</x:v>
      </x:c>
      <x:c r="E15" s="3" t="str">
        <x:v>Not specified</x:v>
      </x:c>
      <x:c r="F15" s="3" t="str">
        <x:v>Flavoured</x:v>
      </x:c>
      <x:c r="G15" s="3" t="str">
        <x:v>Fruit Punch</x:v>
      </x:c>
      <x:c r="H15" s="3" t="str">
        <x:v>Standard pack</x:v>
      </x:c>
      <x:c r="I15" s="13" t="n">
        <x:v>250</x:v>
      </x:c>
      <x:c r="J15" s="14" t="n">
        <x:v>644</x:v>
      </x:c>
      <x:c r="K15" s="11" t="n">
        <x:f>J15/I15</x:f>
        <x:v>2.576</x:v>
      </x:c>
      <x:c r="L15" s="13" t="n">
        <x:v>96.77419354838709</x:v>
      </x:c>
      <x:c r="M15" s="15" t="n">
        <x:f>IF(OR(L15="",L15=0),"",J15/(I15*L15/100))</x:f>
        <x:v>2.661866666666667</x:v>
      </x:c>
      <x:c r="N15" s="15" t="n">
        <x:f>IF(M15="","",M15*3)</x:f>
        <x:v>7.985600000000002</x:v>
      </x:c>
      <x:c r="O15" s="10" t="n">
        <x:v>3.1</x:v>
      </x:c>
      <x:c r="P15" s="10" t="n">
        <x:v>3.1</x:v>
      </x:c>
      <x:c r="Q15" s="10" t="n">
        <x:v>3</x:v>
      </x:c>
      <x:c r="R15" s="10"/>
      <x:c r="S15" s="3" t="str">
        <x:v>In stock</x:v>
      </x:c>
      <x:c r="T15" s="12" t="d">
        <x:v>2026-10-25T00:00:00.000Z</x:v>
      </x:c>
      <x:c r="U15" s="3" t="str">
        <x:v>cr-9</x:v>
      </x:c>
      <x:c r="V15" s="3" t="str">
        <x:v>Family FAQ: 3g creatine monohydrate per 3.1g scoop. Flavour-specific label may differ. Product-family serving claim used across flavours; page also contains a generic 3g mixing instruction.</x:v>
      </x:c>
      <x:c r="W15" s="3"/>
      <x:c r="X15" s="3" t="str">
        <x:v>https://asitisnutrition.com/products/as-it-is-atom-creatine-monohydrate?variant=41982443061299</x:v>
      </x:c>
      <x:c r="Y15" s="3" t="str">
        <x:v>https://asitisnutrition.com/products/as-it-is-atom-creatine-monohydrate?variant=41982443061299</x:v>
      </x:c>
      <x:c r="Z15" s="3" t="str">
        <x:v>Family FAQ: 3g creatine monohydrate per 3.1g scoop. Flavour-specific label may differ.</x:v>
      </x:c>
      <x:c r="AA15" s="3" t="str"/>
    </x:row>
    <x:row r="16" ht="44" customHeight="1">
      <x:c r="A16" s="3" t="str">
        <x:v>AS-IT-IS Nutrition</x:v>
      </x:c>
      <x:c r="B16" s="3" t="str">
        <x:v>AS-IT-IS ATOM Creatine Monohydrate</x:v>
      </x:c>
      <x:c r="C16" s="3" t="str">
        <x:v>Monohydrate</x:v>
      </x:c>
      <x:c r="D16" s="3" t="str">
        <x:v>Micronized</x:v>
      </x:c>
      <x:c r="E16" s="3" t="str">
        <x:v>Not specified</x:v>
      </x:c>
      <x:c r="F16" s="3" t="str">
        <x:v>Flavoured</x:v>
      </x:c>
      <x:c r="G16" s="3" t="str">
        <x:v>Guava Chilli</x:v>
      </x:c>
      <x:c r="H16" s="3" t="str">
        <x:v>Standard pack</x:v>
      </x:c>
      <x:c r="I16" s="13" t="n">
        <x:v>100</x:v>
      </x:c>
      <x:c r="J16" s="14" t="n">
        <x:v>321</x:v>
      </x:c>
      <x:c r="K16" s="11" t="n">
        <x:f>J16/I16</x:f>
        <x:v>3.21</x:v>
      </x:c>
      <x:c r="L16" s="13" t="n">
        <x:v>96.77419354838709</x:v>
      </x:c>
      <x:c r="M16" s="15" t="n">
        <x:f>IF(OR(L16="",L16=0),"",J16/(I16*L16/100))</x:f>
        <x:v>3.317</x:v>
      </x:c>
      <x:c r="N16" s="15" t="n">
        <x:f>IF(M16="","",M16*3)</x:f>
        <x:v>9.951</x:v>
      </x:c>
      <x:c r="O16" s="10" t="n">
        <x:v>3.1</x:v>
      </x:c>
      <x:c r="P16" s="10" t="n">
        <x:v>3.1</x:v>
      </x:c>
      <x:c r="Q16" s="10" t="n">
        <x:v>3</x:v>
      </x:c>
      <x:c r="R16" s="10"/>
      <x:c r="S16" s="3" t="str">
        <x:v>Sold out</x:v>
      </x:c>
      <x:c r="T16" s="12" t="d">
        <x:v>2026-10-25T00:00:00.000Z</x:v>
      </x:c>
      <x:c r="U16" s="3" t="str">
        <x:v>cr-10</x:v>
      </x:c>
      <x:c r="V16" s="3" t="str">
        <x:v>Family FAQ: 3g creatine monohydrate per 3.1g scoop. Flavour-specific label may differ. Product-family serving claim used across flavours; page also contains a generic 3g mixing instruction.</x:v>
      </x:c>
      <x:c r="W16" s="3"/>
      <x:c r="X16" s="3" t="str">
        <x:v>https://asitisnutrition.com/products/as-it-is-atom-creatine-monohydrate?variant=41335153721395</x:v>
      </x:c>
      <x:c r="Y16" s="3" t="str">
        <x:v>https://asitisnutrition.com/products/as-it-is-atom-creatine-monohydrate?variant=41335153721395</x:v>
      </x:c>
      <x:c r="Z16" s="3" t="str">
        <x:v>Family FAQ: 3g creatine monohydrate per 3.1g scoop. Flavour-specific label may differ.</x:v>
      </x:c>
      <x:c r="AA16" s="3" t="str"/>
    </x:row>
    <x:row r="17" ht="44" customHeight="1">
      <x:c r="A17" s="3" t="str">
        <x:v>AS-IT-IS Nutrition</x:v>
      </x:c>
      <x:c r="B17" s="3" t="str">
        <x:v>AS-IT-IS ATOM Creatine Monohydrate</x:v>
      </x:c>
      <x:c r="C17" s="3" t="str">
        <x:v>Monohydrate</x:v>
      </x:c>
      <x:c r="D17" s="3" t="str">
        <x:v>Micronized</x:v>
      </x:c>
      <x:c r="E17" s="3" t="str">
        <x:v>Not specified</x:v>
      </x:c>
      <x:c r="F17" s="3" t="str">
        <x:v>Flavoured</x:v>
      </x:c>
      <x:c r="G17" s="3" t="str">
        <x:v>Jalapeno</x:v>
      </x:c>
      <x:c r="H17" s="3" t="str">
        <x:v>Standard pack</x:v>
      </x:c>
      <x:c r="I17" s="13" t="n">
        <x:v>100</x:v>
      </x:c>
      <x:c r="J17" s="14" t="n">
        <x:v>321</x:v>
      </x:c>
      <x:c r="K17" s="11" t="n">
        <x:f>J17/I17</x:f>
        <x:v>3.21</x:v>
      </x:c>
      <x:c r="L17" s="13" t="n">
        <x:v>96.77419354838709</x:v>
      </x:c>
      <x:c r="M17" s="15" t="n">
        <x:f>IF(OR(L17="",L17=0),"",J17/(I17*L17/100))</x:f>
        <x:v>3.317</x:v>
      </x:c>
      <x:c r="N17" s="15" t="n">
        <x:f>IF(M17="","",M17*3)</x:f>
        <x:v>9.951</x:v>
      </x:c>
      <x:c r="O17" s="10" t="n">
        <x:v>3.1</x:v>
      </x:c>
      <x:c r="P17" s="10" t="n">
        <x:v>3.1</x:v>
      </x:c>
      <x:c r="Q17" s="10" t="n">
        <x:v>3</x:v>
      </x:c>
      <x:c r="R17" s="10"/>
      <x:c r="S17" s="3" t="str">
        <x:v>Sold out</x:v>
      </x:c>
      <x:c r="T17" s="12" t="d">
        <x:v>2026-10-25T00:00:00.000Z</x:v>
      </x:c>
      <x:c r="U17" s="3" t="str">
        <x:v>cr-11</x:v>
      </x:c>
      <x:c r="V17" s="3" t="str">
        <x:v>Family FAQ: 3g creatine monohydrate per 3.1g scoop. Flavour-specific label may differ. Product-family serving claim used across flavours; page also contains a generic 3g mixing instruction.</x:v>
      </x:c>
      <x:c r="W17" s="3"/>
      <x:c r="X17" s="3" t="str">
        <x:v>https://asitisnutrition.com/products/as-it-is-atom-creatine-monohydrate?variant=41644686606387</x:v>
      </x:c>
      <x:c r="Y17" s="3" t="str">
        <x:v>https://asitisnutrition.com/products/as-it-is-atom-creatine-monohydrate?variant=41644686606387</x:v>
      </x:c>
      <x:c r="Z17" s="3" t="str">
        <x:v>Family FAQ: 3g creatine monohydrate per 3.1g scoop. Flavour-specific label may differ.</x:v>
      </x:c>
      <x:c r="AA17" s="3" t="str"/>
    </x:row>
    <x:row r="18" ht="44" customHeight="1">
      <x:c r="A18" s="3" t="str">
        <x:v>AS-IT-IS Nutrition</x:v>
      </x:c>
      <x:c r="B18" s="3" t="str">
        <x:v>AS-IT-IS ATOM Creatine Monohydrate</x:v>
      </x:c>
      <x:c r="C18" s="3" t="str">
        <x:v>Monohydrate</x:v>
      </x:c>
      <x:c r="D18" s="3" t="str">
        <x:v>Micronized</x:v>
      </x:c>
      <x:c r="E18" s="3" t="str">
        <x:v>Not specified</x:v>
      </x:c>
      <x:c r="F18" s="3" t="str">
        <x:v>Flavoured</x:v>
      </x:c>
      <x:c r="G18" s="3" t="str">
        <x:v>Kiwi Fusion</x:v>
      </x:c>
      <x:c r="H18" s="3" t="str">
        <x:v>Standard pack</x:v>
      </x:c>
      <x:c r="I18" s="13" t="n">
        <x:v>100</x:v>
      </x:c>
      <x:c r="J18" s="14" t="n">
        <x:v>321</x:v>
      </x:c>
      <x:c r="K18" s="11" t="n">
        <x:f>J18/I18</x:f>
        <x:v>3.21</x:v>
      </x:c>
      <x:c r="L18" s="13" t="n">
        <x:v>96.77419354838709</x:v>
      </x:c>
      <x:c r="M18" s="15" t="n">
        <x:f>IF(OR(L18="",L18=0),"",J18/(I18*L18/100))</x:f>
        <x:v>3.317</x:v>
      </x:c>
      <x:c r="N18" s="15" t="n">
        <x:f>IF(M18="","",M18*3)</x:f>
        <x:v>9.951</x:v>
      </x:c>
      <x:c r="O18" s="10" t="n">
        <x:v>3.1</x:v>
      </x:c>
      <x:c r="P18" s="10" t="n">
        <x:v>3.1</x:v>
      </x:c>
      <x:c r="Q18" s="10" t="n">
        <x:v>3</x:v>
      </x:c>
      <x:c r="R18" s="10"/>
      <x:c r="S18" s="3" t="str">
        <x:v>In stock</x:v>
      </x:c>
      <x:c r="T18" s="12" t="d">
        <x:v>2026-10-25T00:00:00.000Z</x:v>
      </x:c>
      <x:c r="U18" s="3" t="str">
        <x:v>cr-12</x:v>
      </x:c>
      <x:c r="V18" s="3" t="str">
        <x:v>Family FAQ: 3g creatine monohydrate per 3.1g scoop. Flavour-specific label may differ. Product-family serving claim used across flavours; page also contains a generic 3g mixing instruction.</x:v>
      </x:c>
      <x:c r="W18" s="3"/>
      <x:c r="X18" s="3" t="str">
        <x:v>https://asitisnutrition.com/products/as-it-is-atom-creatine-monohydrate?variant=40695838179379</x:v>
      </x:c>
      <x:c r="Y18" s="3" t="str">
        <x:v>https://asitisnutrition.com/products/as-it-is-atom-creatine-monohydrate?variant=40695838179379</x:v>
      </x:c>
      <x:c r="Z18" s="3" t="str">
        <x:v>Family FAQ: 3g creatine monohydrate per 3.1g scoop. Flavour-specific label may differ.</x:v>
      </x:c>
      <x:c r="AA18" s="3" t="str"/>
    </x:row>
    <x:row r="19" ht="44" customHeight="1">
      <x:c r="A19" s="3" t="str">
        <x:v>AS-IT-IS Nutrition</x:v>
      </x:c>
      <x:c r="B19" s="3" t="str">
        <x:v>AS-IT-IS ATOM Creatine Monohydrate</x:v>
      </x:c>
      <x:c r="C19" s="3" t="str">
        <x:v>Monohydrate</x:v>
      </x:c>
      <x:c r="D19" s="3" t="str">
        <x:v>Micronized</x:v>
      </x:c>
      <x:c r="E19" s="3" t="str">
        <x:v>Not specified</x:v>
      </x:c>
      <x:c r="F19" s="3" t="str">
        <x:v>Flavoured</x:v>
      </x:c>
      <x:c r="G19" s="3" t="str">
        <x:v>Kiwi Fusion</x:v>
      </x:c>
      <x:c r="H19" s="3" t="str">
        <x:v>Standard pack</x:v>
      </x:c>
      <x:c r="I19" s="13" t="n">
        <x:v>250</x:v>
      </x:c>
      <x:c r="J19" s="14" t="n">
        <x:v>644</x:v>
      </x:c>
      <x:c r="K19" s="11" t="n">
        <x:f>J19/I19</x:f>
        <x:v>2.576</x:v>
      </x:c>
      <x:c r="L19" s="13" t="n">
        <x:v>96.77419354838709</x:v>
      </x:c>
      <x:c r="M19" s="15" t="n">
        <x:f>IF(OR(L19="",L19=0),"",J19/(I19*L19/100))</x:f>
        <x:v>2.661866666666667</x:v>
      </x:c>
      <x:c r="N19" s="15" t="n">
        <x:f>IF(M19="","",M19*3)</x:f>
        <x:v>7.985600000000002</x:v>
      </x:c>
      <x:c r="O19" s="10" t="n">
        <x:v>3.1</x:v>
      </x:c>
      <x:c r="P19" s="10" t="n">
        <x:v>3.1</x:v>
      </x:c>
      <x:c r="Q19" s="10" t="n">
        <x:v>3</x:v>
      </x:c>
      <x:c r="R19" s="10"/>
      <x:c r="S19" s="3" t="str">
        <x:v>In stock</x:v>
      </x:c>
      <x:c r="T19" s="12" t="d">
        <x:v>2026-10-25T00:00:00.000Z</x:v>
      </x:c>
      <x:c r="U19" s="3" t="str">
        <x:v>cr-13</x:v>
      </x:c>
      <x:c r="V19" s="3" t="str">
        <x:v>Family FAQ: 3g creatine monohydrate per 3.1g scoop. Flavour-specific label may differ. Product-family serving claim used across flavours; page also contains a generic 3g mixing instruction.</x:v>
      </x:c>
      <x:c r="W19" s="3"/>
      <x:c r="X19" s="3" t="str">
        <x:v>https://asitisnutrition.com/products/as-it-is-atom-creatine-monohydrate?variant=41849271353395</x:v>
      </x:c>
      <x:c r="Y19" s="3" t="str">
        <x:v>https://asitisnutrition.com/products/as-it-is-atom-creatine-monohydrate?variant=41849271353395</x:v>
      </x:c>
      <x:c r="Z19" s="3" t="str">
        <x:v>Family FAQ: 3g creatine monohydrate per 3.1g scoop. Flavour-specific label may differ.</x:v>
      </x:c>
      <x:c r="AA19" s="3" t="str"/>
    </x:row>
    <x:row r="20" ht="44" customHeight="1">
      <x:c r="A20" s="3" t="str">
        <x:v>AS-IT-IS Nutrition</x:v>
      </x:c>
      <x:c r="B20" s="3" t="str">
        <x:v>AS-IT-IS ATOM Creatine Monohydrate</x:v>
      </x:c>
      <x:c r="C20" s="3" t="str">
        <x:v>Monohydrate</x:v>
      </x:c>
      <x:c r="D20" s="3" t="str">
        <x:v>Micronized</x:v>
      </x:c>
      <x:c r="E20" s="3" t="str">
        <x:v>Not specified</x:v>
      </x:c>
      <x:c r="F20" s="3" t="str">
        <x:v>Flavoured</x:v>
      </x:c>
      <x:c r="G20" s="3" t="str">
        <x:v>Litchi</x:v>
      </x:c>
      <x:c r="H20" s="3" t="str">
        <x:v>Standard pack</x:v>
      </x:c>
      <x:c r="I20" s="13" t="n">
        <x:v>100</x:v>
      </x:c>
      <x:c r="J20" s="14" t="n">
        <x:v>321</x:v>
      </x:c>
      <x:c r="K20" s="11" t="n">
        <x:f>J20/I20</x:f>
        <x:v>3.21</x:v>
      </x:c>
      <x:c r="L20" s="13" t="n">
        <x:v>96.77419354838709</x:v>
      </x:c>
      <x:c r="M20" s="15" t="n">
        <x:f>IF(OR(L20="",L20=0),"",J20/(I20*L20/100))</x:f>
        <x:v>3.317</x:v>
      </x:c>
      <x:c r="N20" s="15" t="n">
        <x:f>IF(M20="","",M20*3)</x:f>
        <x:v>9.951</x:v>
      </x:c>
      <x:c r="O20" s="10" t="n">
        <x:v>3.1</x:v>
      </x:c>
      <x:c r="P20" s="10" t="n">
        <x:v>3.1</x:v>
      </x:c>
      <x:c r="Q20" s="10" t="n">
        <x:v>3</x:v>
      </x:c>
      <x:c r="R20" s="10"/>
      <x:c r="S20" s="3" t="str">
        <x:v>In stock</x:v>
      </x:c>
      <x:c r="T20" s="12" t="d">
        <x:v>2026-10-25T00:00:00.000Z</x:v>
      </x:c>
      <x:c r="U20" s="3" t="str">
        <x:v>cr-14</x:v>
      </x:c>
      <x:c r="V20" s="3" t="str">
        <x:v>Family FAQ: 3g creatine monohydrate per 3.1g scoop. Flavour-specific label may differ. Product-family serving claim used across flavours; page also contains a generic 3g mixing instruction.</x:v>
      </x:c>
      <x:c r="W20" s="3"/>
      <x:c r="X20" s="3" t="str">
        <x:v>https://asitisnutrition.com/products/as-it-is-atom-creatine-monohydrate?variant=43105979826227</x:v>
      </x:c>
      <x:c r="Y20" s="3" t="str">
        <x:v>https://asitisnutrition.com/products/as-it-is-atom-creatine-monohydrate?variant=43105979826227</x:v>
      </x:c>
      <x:c r="Z20" s="3" t="str">
        <x:v>Family FAQ: 3g creatine monohydrate per 3.1g scoop. Flavour-specific label may differ.</x:v>
      </x:c>
      <x:c r="AA20" s="3" t="str"/>
    </x:row>
    <x:row r="21" ht="44" customHeight="1">
      <x:c r="A21" s="3" t="str">
        <x:v>AS-IT-IS Nutrition</x:v>
      </x:c>
      <x:c r="B21" s="3" t="str">
        <x:v>AS-IT-IS ATOM Creatine Monohydrate</x:v>
      </x:c>
      <x:c r="C21" s="3" t="str">
        <x:v>Monohydrate</x:v>
      </x:c>
      <x:c r="D21" s="3" t="str">
        <x:v>Micronized</x:v>
      </x:c>
      <x:c r="E21" s="3" t="str">
        <x:v>Not specified</x:v>
      </x:c>
      <x:c r="F21" s="3" t="str">
        <x:v>Flavoured</x:v>
      </x:c>
      <x:c r="G21" s="3" t="str">
        <x:v>Mint Mojito</x:v>
      </x:c>
      <x:c r="H21" s="3" t="str">
        <x:v>Standard pack</x:v>
      </x:c>
      <x:c r="I21" s="13" t="n">
        <x:v>100</x:v>
      </x:c>
      <x:c r="J21" s="14" t="n">
        <x:v>321</x:v>
      </x:c>
      <x:c r="K21" s="11" t="n">
        <x:f>J21/I21</x:f>
        <x:v>3.21</x:v>
      </x:c>
      <x:c r="L21" s="13" t="n">
        <x:v>96.77419354838709</x:v>
      </x:c>
      <x:c r="M21" s="15" t="n">
        <x:f>IF(OR(L21="",L21=0),"",J21/(I21*L21/100))</x:f>
        <x:v>3.317</x:v>
      </x:c>
      <x:c r="N21" s="15" t="n">
        <x:f>IF(M21="","",M21*3)</x:f>
        <x:v>9.951</x:v>
      </x:c>
      <x:c r="O21" s="10" t="n">
        <x:v>3.1</x:v>
      </x:c>
      <x:c r="P21" s="10" t="n">
        <x:v>3.1</x:v>
      </x:c>
      <x:c r="Q21" s="10" t="n">
        <x:v>3</x:v>
      </x:c>
      <x:c r="R21" s="10"/>
      <x:c r="S21" s="3" t="str">
        <x:v>In stock</x:v>
      </x:c>
      <x:c r="T21" s="12" t="d">
        <x:v>2026-10-25T00:00:00.000Z</x:v>
      </x:c>
      <x:c r="U21" s="3" t="str">
        <x:v>cr-15</x:v>
      </x:c>
      <x:c r="V21" s="3" t="str">
        <x:v>Family FAQ: 3g creatine monohydrate per 3.1g scoop. Flavour-specific label may differ. Product-family serving claim used across flavours; page also contains a generic 3g mixing instruction.</x:v>
      </x:c>
      <x:c r="W21" s="3"/>
      <x:c r="X21" s="3" t="str">
        <x:v>https://asitisnutrition.com/products/as-it-is-atom-creatine-monohydrate?variant=40695836901427</x:v>
      </x:c>
      <x:c r="Y21" s="3" t="str">
        <x:v>https://asitisnutrition.com/products/as-it-is-atom-creatine-monohydrate?variant=40695836901427</x:v>
      </x:c>
      <x:c r="Z21" s="3" t="str">
        <x:v>Family FAQ: 3g creatine monohydrate per 3.1g scoop. Flavour-specific label may differ.</x:v>
      </x:c>
      <x:c r="AA21" s="3" t="str"/>
    </x:row>
    <x:row r="22" ht="44" customHeight="1">
      <x:c r="A22" s="3" t="str">
        <x:v>AS-IT-IS Nutrition</x:v>
      </x:c>
      <x:c r="B22" s="3" t="str">
        <x:v>AS-IT-IS ATOM Creatine Monohydrate</x:v>
      </x:c>
      <x:c r="C22" s="3" t="str">
        <x:v>Monohydrate</x:v>
      </x:c>
      <x:c r="D22" s="3" t="str">
        <x:v>Micronized</x:v>
      </x:c>
      <x:c r="E22" s="3" t="str">
        <x:v>Not specified</x:v>
      </x:c>
      <x:c r="F22" s="3" t="str">
        <x:v>Flavoured</x:v>
      </x:c>
      <x:c r="G22" s="3" t="str">
        <x:v>Mint Mojito</x:v>
      </x:c>
      <x:c r="H22" s="3" t="str">
        <x:v>Standard pack</x:v>
      </x:c>
      <x:c r="I22" s="13" t="n">
        <x:v>250</x:v>
      </x:c>
      <x:c r="J22" s="14" t="n">
        <x:v>644</x:v>
      </x:c>
      <x:c r="K22" s="11" t="n">
        <x:f>J22/I22</x:f>
        <x:v>2.576</x:v>
      </x:c>
      <x:c r="L22" s="13" t="n">
        <x:v>96.77419354838709</x:v>
      </x:c>
      <x:c r="M22" s="15" t="n">
        <x:f>IF(OR(L22="",L22=0),"",J22/(I22*L22/100))</x:f>
        <x:v>2.661866666666667</x:v>
      </x:c>
      <x:c r="N22" s="15" t="n">
        <x:f>IF(M22="","",M22*3)</x:f>
        <x:v>7.985600000000002</x:v>
      </x:c>
      <x:c r="O22" s="10" t="n">
        <x:v>3.1</x:v>
      </x:c>
      <x:c r="P22" s="10" t="n">
        <x:v>3.1</x:v>
      </x:c>
      <x:c r="Q22" s="10" t="n">
        <x:v>3</x:v>
      </x:c>
      <x:c r="R22" s="10"/>
      <x:c r="S22" s="3" t="str">
        <x:v>In stock</x:v>
      </x:c>
      <x:c r="T22" s="12" t="d">
        <x:v>2026-10-25T00:00:00.000Z</x:v>
      </x:c>
      <x:c r="U22" s="3" t="str">
        <x:v>cr-16</x:v>
      </x:c>
      <x:c r="V22" s="3" t="str">
        <x:v>Family FAQ: 3g creatine monohydrate per 3.1g scoop. Flavour-specific label may differ. Product-family serving claim used across flavours; page also contains a generic 3g mixing instruction.</x:v>
      </x:c>
      <x:c r="W22" s="3"/>
      <x:c r="X22" s="3" t="str">
        <x:v>https://asitisnutrition.com/products/as-it-is-atom-creatine-monohydrate?variant=41849271320627</x:v>
      </x:c>
      <x:c r="Y22" s="3" t="str">
        <x:v>https://asitisnutrition.com/products/as-it-is-atom-creatine-monohydrate?variant=41849271320627</x:v>
      </x:c>
      <x:c r="Z22" s="3" t="str">
        <x:v>Family FAQ: 3g creatine monohydrate per 3.1g scoop. Flavour-specific label may differ.</x:v>
      </x:c>
      <x:c r="AA22" s="3" t="str"/>
    </x:row>
    <x:row r="23" ht="44" customHeight="1">
      <x:c r="A23" s="3" t="str">
        <x:v>AS-IT-IS Nutrition</x:v>
      </x:c>
      <x:c r="B23" s="3" t="str">
        <x:v>AS-IT-IS ATOM Creatine Monohydrate</x:v>
      </x:c>
      <x:c r="C23" s="3" t="str">
        <x:v>Monohydrate</x:v>
      </x:c>
      <x:c r="D23" s="3" t="str">
        <x:v>Micronized</x:v>
      </x:c>
      <x:c r="E23" s="3" t="str">
        <x:v>Not specified</x:v>
      </x:c>
      <x:c r="F23" s="3" t="str">
        <x:v>Flavoured</x:v>
      </x:c>
      <x:c r="G23" s="3" t="str">
        <x:v>Orange</x:v>
      </x:c>
      <x:c r="H23" s="3" t="str">
        <x:v>Standard pack</x:v>
      </x:c>
      <x:c r="I23" s="13" t="n">
        <x:v>100</x:v>
      </x:c>
      <x:c r="J23" s="14" t="n">
        <x:v>321</x:v>
      </x:c>
      <x:c r="K23" s="11" t="n">
        <x:f>J23/I23</x:f>
        <x:v>3.21</x:v>
      </x:c>
      <x:c r="L23" s="13" t="n">
        <x:v>96.77419354838709</x:v>
      </x:c>
      <x:c r="M23" s="15" t="n">
        <x:f>IF(OR(L23="",L23=0),"",J23/(I23*L23/100))</x:f>
        <x:v>3.317</x:v>
      </x:c>
      <x:c r="N23" s="15" t="n">
        <x:f>IF(M23="","",M23*3)</x:f>
        <x:v>9.951</x:v>
      </x:c>
      <x:c r="O23" s="10" t="n">
        <x:v>3.1</x:v>
      </x:c>
      <x:c r="P23" s="10" t="n">
        <x:v>3.1</x:v>
      </x:c>
      <x:c r="Q23" s="10" t="n">
        <x:v>3</x:v>
      </x:c>
      <x:c r="R23" s="10"/>
      <x:c r="S23" s="3" t="str">
        <x:v>In stock</x:v>
      </x:c>
      <x:c r="T23" s="12" t="d">
        <x:v>2026-10-25T00:00:00.000Z</x:v>
      </x:c>
      <x:c r="U23" s="3" t="str">
        <x:v>cr-17</x:v>
      </x:c>
      <x:c r="V23" s="3" t="str">
        <x:v>Family FAQ: 3g creatine monohydrate per 3.1g scoop. Flavour-specific label may differ. Product-family serving claim used across flavours; page also contains a generic 3g mixing instruction.</x:v>
      </x:c>
      <x:c r="W23" s="3"/>
      <x:c r="X23" s="3" t="str">
        <x:v>https://asitisnutrition.com/products/as-it-is-atom-creatine-monohydrate?variant=43281698684979</x:v>
      </x:c>
      <x:c r="Y23" s="3" t="str">
        <x:v>https://asitisnutrition.com/products/as-it-is-atom-creatine-monohydrate?variant=43281698684979</x:v>
      </x:c>
      <x:c r="Z23" s="3" t="str">
        <x:v>Family FAQ: 3g creatine monohydrate per 3.1g scoop. Flavour-specific label may differ.</x:v>
      </x:c>
      <x:c r="AA23" s="3" t="str"/>
    </x:row>
    <x:row r="24" ht="44" customHeight="1">
      <x:c r="A24" s="3" t="str">
        <x:v>AS-IT-IS Nutrition</x:v>
      </x:c>
      <x:c r="B24" s="3" t="str">
        <x:v>AS-IT-IS ATOM Creatine Monohydrate</x:v>
      </x:c>
      <x:c r="C24" s="3" t="str">
        <x:v>Monohydrate</x:v>
      </x:c>
      <x:c r="D24" s="3" t="str">
        <x:v>Micronized</x:v>
      </x:c>
      <x:c r="E24" s="3" t="str">
        <x:v>Not specified</x:v>
      </x:c>
      <x:c r="F24" s="3" t="str">
        <x:v>Flavoured</x:v>
      </x:c>
      <x:c r="G24" s="3" t="str">
        <x:v>Orange</x:v>
      </x:c>
      <x:c r="H24" s="3" t="str">
        <x:v>Standard pack</x:v>
      </x:c>
      <x:c r="I24" s="13" t="n">
        <x:v>250</x:v>
      </x:c>
      <x:c r="J24" s="14" t="n">
        <x:v>644</x:v>
      </x:c>
      <x:c r="K24" s="11" t="n">
        <x:f>J24/I24</x:f>
        <x:v>2.576</x:v>
      </x:c>
      <x:c r="L24" s="13" t="n">
        <x:v>96.77419354838709</x:v>
      </x:c>
      <x:c r="M24" s="15" t="n">
        <x:f>IF(OR(L24="",L24=0),"",J24/(I24*L24/100))</x:f>
        <x:v>2.661866666666667</x:v>
      </x:c>
      <x:c r="N24" s="15" t="n">
        <x:f>IF(M24="","",M24*3)</x:f>
        <x:v>7.985600000000002</x:v>
      </x:c>
      <x:c r="O24" s="10" t="n">
        <x:v>3.1</x:v>
      </x:c>
      <x:c r="P24" s="10" t="n">
        <x:v>3.1</x:v>
      </x:c>
      <x:c r="Q24" s="10" t="n">
        <x:v>3</x:v>
      </x:c>
      <x:c r="R24" s="10"/>
      <x:c r="S24" s="3" t="str">
        <x:v>Sold out</x:v>
      </x:c>
      <x:c r="T24" s="12" t="d">
        <x:v>2026-10-25T00:00:00.000Z</x:v>
      </x:c>
      <x:c r="U24" s="3" t="str">
        <x:v>cr-18</x:v>
      </x:c>
      <x:c r="V24" s="3" t="str">
        <x:v>Family FAQ: 3g creatine monohydrate per 3.1g scoop. Flavour-specific label may differ. Product-family serving claim used across flavours; page also contains a generic 3g mixing instruction.</x:v>
      </x:c>
      <x:c r="W24" s="3"/>
      <x:c r="X24" s="3" t="str">
        <x:v>https://asitisnutrition.com/products/as-it-is-atom-creatine-monohydrate?variant=43281698717747</x:v>
      </x:c>
      <x:c r="Y24" s="3" t="str">
        <x:v>https://asitisnutrition.com/products/as-it-is-atom-creatine-monohydrate?variant=43281698717747</x:v>
      </x:c>
      <x:c r="Z24" s="3" t="str">
        <x:v>Family FAQ: 3g creatine monohydrate per 3.1g scoop. Flavour-specific label may differ.</x:v>
      </x:c>
      <x:c r="AA24" s="3" t="str"/>
    </x:row>
    <x:row r="25" ht="44" customHeight="1">
      <x:c r="A25" s="3" t="str">
        <x:v>AS-IT-IS Nutrition</x:v>
      </x:c>
      <x:c r="B25" s="3" t="str">
        <x:v>AS-IT-IS ATOM Creatine Monohydrate</x:v>
      </x:c>
      <x:c r="C25" s="3" t="str">
        <x:v>Monohydrate</x:v>
      </x:c>
      <x:c r="D25" s="3" t="str">
        <x:v>Micronized</x:v>
      </x:c>
      <x:c r="E25" s="3" t="str">
        <x:v>Not specified</x:v>
      </x:c>
      <x:c r="F25" s="3" t="str">
        <x:v>Flavoured</x:v>
      </x:c>
      <x:c r="G25" s="3" t="str">
        <x:v>Pineapple Burst</x:v>
      </x:c>
      <x:c r="H25" s="3" t="str">
        <x:v>Standard pack</x:v>
      </x:c>
      <x:c r="I25" s="13" t="n">
        <x:v>100</x:v>
      </x:c>
      <x:c r="J25" s="14" t="n">
        <x:v>321</x:v>
      </x:c>
      <x:c r="K25" s="11" t="n">
        <x:f>J25/I25</x:f>
        <x:v>3.21</x:v>
      </x:c>
      <x:c r="L25" s="13" t="n">
        <x:v>96.77419354838709</x:v>
      </x:c>
      <x:c r="M25" s="15" t="n">
        <x:f>IF(OR(L25="",L25=0),"",J25/(I25*L25/100))</x:f>
        <x:v>3.317</x:v>
      </x:c>
      <x:c r="N25" s="15" t="n">
        <x:f>IF(M25="","",M25*3)</x:f>
        <x:v>9.951</x:v>
      </x:c>
      <x:c r="O25" s="10" t="n">
        <x:v>3.1</x:v>
      </x:c>
      <x:c r="P25" s="10" t="n">
        <x:v>3.1</x:v>
      </x:c>
      <x:c r="Q25" s="10" t="n">
        <x:v>3</x:v>
      </x:c>
      <x:c r="R25" s="10"/>
      <x:c r="S25" s="3" t="str">
        <x:v>Sold out</x:v>
      </x:c>
      <x:c r="T25" s="12" t="d">
        <x:v>2026-10-25T00:00:00.000Z</x:v>
      </x:c>
      <x:c r="U25" s="3" t="str">
        <x:v>cr-19</x:v>
      </x:c>
      <x:c r="V25" s="3" t="str">
        <x:v>Family FAQ: 3g creatine monohydrate per 3.1g scoop. Flavour-specific label may differ. Product-family serving claim used across flavours; page also contains a generic 3g mixing instruction.</x:v>
      </x:c>
      <x:c r="W25" s="3"/>
      <x:c r="X25" s="3" t="str">
        <x:v>https://asitisnutrition.com/products/as-it-is-atom-creatine-monohydrate?variant=43281680367667</x:v>
      </x:c>
      <x:c r="Y25" s="3" t="str">
        <x:v>https://asitisnutrition.com/products/as-it-is-atom-creatine-monohydrate?variant=43281680367667</x:v>
      </x:c>
      <x:c r="Z25" s="3" t="str">
        <x:v>Family FAQ: 3g creatine monohydrate per 3.1g scoop. Flavour-specific label may differ.</x:v>
      </x:c>
      <x:c r="AA25" s="3" t="str"/>
    </x:row>
    <x:row r="26" ht="44" customHeight="1">
      <x:c r="A26" s="3" t="str">
        <x:v>AS-IT-IS Nutrition</x:v>
      </x:c>
      <x:c r="B26" s="3" t="str">
        <x:v>AS-IT-IS ATOM Creatine Monohydrate</x:v>
      </x:c>
      <x:c r="C26" s="3" t="str">
        <x:v>Monohydrate</x:v>
      </x:c>
      <x:c r="D26" s="3" t="str">
        <x:v>Micronized</x:v>
      </x:c>
      <x:c r="E26" s="3" t="str">
        <x:v>Not specified</x:v>
      </x:c>
      <x:c r="F26" s="3" t="str">
        <x:v>Flavoured</x:v>
      </x:c>
      <x:c r="G26" s="3" t="str">
        <x:v>Pineapple Burst</x:v>
      </x:c>
      <x:c r="H26" s="3" t="str">
        <x:v>Standard pack</x:v>
      </x:c>
      <x:c r="I26" s="13" t="n">
        <x:v>250</x:v>
      </x:c>
      <x:c r="J26" s="14" t="n">
        <x:v>644</x:v>
      </x:c>
      <x:c r="K26" s="11" t="n">
        <x:f>J26/I26</x:f>
        <x:v>2.576</x:v>
      </x:c>
      <x:c r="L26" s="13" t="n">
        <x:v>96.77419354838709</x:v>
      </x:c>
      <x:c r="M26" s="15" t="n">
        <x:f>IF(OR(L26="",L26=0),"",J26/(I26*L26/100))</x:f>
        <x:v>2.661866666666667</x:v>
      </x:c>
      <x:c r="N26" s="15" t="n">
        <x:f>IF(M26="","",M26*3)</x:f>
        <x:v>7.985600000000002</x:v>
      </x:c>
      <x:c r="O26" s="10" t="n">
        <x:v>3.1</x:v>
      </x:c>
      <x:c r="P26" s="10" t="n">
        <x:v>3.1</x:v>
      </x:c>
      <x:c r="Q26" s="10" t="n">
        <x:v>3</x:v>
      </x:c>
      <x:c r="R26" s="10"/>
      <x:c r="S26" s="3" t="str">
        <x:v>Sold out</x:v>
      </x:c>
      <x:c r="T26" s="12" t="d">
        <x:v>2026-10-25T00:00:00.000Z</x:v>
      </x:c>
      <x:c r="U26" s="3" t="str">
        <x:v>cr-20</x:v>
      </x:c>
      <x:c r="V26" s="3" t="str">
        <x:v>Family FAQ: 3g creatine monohydrate per 3.1g scoop. Flavour-specific label may differ. Product-family serving claim used across flavours; page also contains a generic 3g mixing instruction.</x:v>
      </x:c>
      <x:c r="W26" s="3"/>
      <x:c r="X26" s="3" t="str">
        <x:v>https://asitisnutrition.com/products/as-it-is-atom-creatine-monohydrate?variant=43281680400435</x:v>
      </x:c>
      <x:c r="Y26" s="3" t="str">
        <x:v>https://asitisnutrition.com/products/as-it-is-atom-creatine-monohydrate?variant=43281680400435</x:v>
      </x:c>
      <x:c r="Z26" s="3" t="str">
        <x:v>Family FAQ: 3g creatine monohydrate per 3.1g scoop. Flavour-specific label may differ.</x:v>
      </x:c>
      <x:c r="AA26" s="3" t="str"/>
    </x:row>
    <x:row r="27" ht="44" customHeight="1">
      <x:c r="A27" s="3" t="str">
        <x:v>AS-IT-IS Nutrition</x:v>
      </x:c>
      <x:c r="B27" s="3" t="str">
        <x:v>AS-IT-IS ATOM Creatine Monohydrate</x:v>
      </x:c>
      <x:c r="C27" s="3" t="str">
        <x:v>Monohydrate</x:v>
      </x:c>
      <x:c r="D27" s="3" t="str">
        <x:v>Micronized</x:v>
      </x:c>
      <x:c r="E27" s="3" t="str">
        <x:v>Not specified</x:v>
      </x:c>
      <x:c r="F27" s="3" t="str">
        <x:v>Flavoured</x:v>
      </x:c>
      <x:c r="G27" s="3" t="str">
        <x:v>Strawberry Lemonade</x:v>
      </x:c>
      <x:c r="H27" s="3" t="str">
        <x:v>Standard pack</x:v>
      </x:c>
      <x:c r="I27" s="13" t="n">
        <x:v>100</x:v>
      </x:c>
      <x:c r="J27" s="14" t="n">
        <x:v>321</x:v>
      </x:c>
      <x:c r="K27" s="11" t="n">
        <x:f>J27/I27</x:f>
        <x:v>3.21</x:v>
      </x:c>
      <x:c r="L27" s="13" t="n">
        <x:v>96.77419354838709</x:v>
      </x:c>
      <x:c r="M27" s="15" t="n">
        <x:f>IF(OR(L27="",L27=0),"",J27/(I27*L27/100))</x:f>
        <x:v>3.317</x:v>
      </x:c>
      <x:c r="N27" s="15" t="n">
        <x:f>IF(M27="","",M27*3)</x:f>
        <x:v>9.951</x:v>
      </x:c>
      <x:c r="O27" s="10" t="n">
        <x:v>3.1</x:v>
      </x:c>
      <x:c r="P27" s="10" t="n">
        <x:v>3.1</x:v>
      </x:c>
      <x:c r="Q27" s="10" t="n">
        <x:v>3</x:v>
      </x:c>
      <x:c r="R27" s="10"/>
      <x:c r="S27" s="3" t="str">
        <x:v>In stock</x:v>
      </x:c>
      <x:c r="T27" s="12" t="d">
        <x:v>2026-10-25T00:00:00.000Z</x:v>
      </x:c>
      <x:c r="U27" s="3" t="str">
        <x:v>cr-21</x:v>
      </x:c>
      <x:c r="V27" s="3" t="str">
        <x:v>Family FAQ: 3g creatine monohydrate per 3.1g scoop. Flavour-specific label may differ. Product-family serving claim used across flavours; page also contains a generic 3g mixing instruction.</x:v>
      </x:c>
      <x:c r="W27" s="3"/>
      <x:c r="X27" s="3" t="str">
        <x:v>https://asitisnutrition.com/products/as-it-is-atom-creatine-monohydrate?variant=41633304936499</x:v>
      </x:c>
      <x:c r="Y27" s="3" t="str">
        <x:v>https://asitisnutrition.com/products/as-it-is-atom-creatine-monohydrate?variant=41633304936499</x:v>
      </x:c>
      <x:c r="Z27" s="3" t="str">
        <x:v>Family FAQ: 3g creatine monohydrate per 3.1g scoop. Flavour-specific label may differ.</x:v>
      </x:c>
      <x:c r="AA27" s="3" t="str"/>
    </x:row>
    <x:row r="28" ht="44" customHeight="1">
      <x:c r="A28" s="3" t="str">
        <x:v>AS-IT-IS Nutrition</x:v>
      </x:c>
      <x:c r="B28" s="3" t="str">
        <x:v>AS-IT-IS ATOM Creatine Monohydrate</x:v>
      </x:c>
      <x:c r="C28" s="3" t="str">
        <x:v>Monohydrate</x:v>
      </x:c>
      <x:c r="D28" s="3" t="str">
        <x:v>Micronized</x:v>
      </x:c>
      <x:c r="E28" s="3" t="str">
        <x:v>Not specified</x:v>
      </x:c>
      <x:c r="F28" s="3" t="str">
        <x:v>Flavoured</x:v>
      </x:c>
      <x:c r="G28" s="3" t="str">
        <x:v>Strawberry Lemonade</x:v>
      </x:c>
      <x:c r="H28" s="3" t="str">
        <x:v>Standard pack</x:v>
      </x:c>
      <x:c r="I28" s="13" t="n">
        <x:v>250</x:v>
      </x:c>
      <x:c r="J28" s="14" t="n">
        <x:v>644</x:v>
      </x:c>
      <x:c r="K28" s="11" t="n">
        <x:f>J28/I28</x:f>
        <x:v>2.576</x:v>
      </x:c>
      <x:c r="L28" s="13" t="n">
        <x:v>96.77419354838709</x:v>
      </x:c>
      <x:c r="M28" s="15" t="n">
        <x:f>IF(OR(L28="",L28=0),"",J28/(I28*L28/100))</x:f>
        <x:v>2.661866666666667</x:v>
      </x:c>
      <x:c r="N28" s="15" t="n">
        <x:f>IF(M28="","",M28*3)</x:f>
        <x:v>7.985600000000002</x:v>
      </x:c>
      <x:c r="O28" s="10" t="n">
        <x:v>3.1</x:v>
      </x:c>
      <x:c r="P28" s="10" t="n">
        <x:v>3.1</x:v>
      </x:c>
      <x:c r="Q28" s="10" t="n">
        <x:v>3</x:v>
      </x:c>
      <x:c r="R28" s="10"/>
      <x:c r="S28" s="3" t="str">
        <x:v>In stock</x:v>
      </x:c>
      <x:c r="T28" s="12" t="d">
        <x:v>2026-10-25T00:00:00.000Z</x:v>
      </x:c>
      <x:c r="U28" s="3" t="str">
        <x:v>cr-22</x:v>
      </x:c>
      <x:c r="V28" s="3" t="str">
        <x:v>Family FAQ: 3g creatine monohydrate per 3.1g scoop. Flavour-specific label may differ. Product-family serving claim used across flavours; page also contains a generic 3g mixing instruction.</x:v>
      </x:c>
      <x:c r="W28" s="3"/>
      <x:c r="X28" s="3" t="str">
        <x:v>https://asitisnutrition.com/products/as-it-is-atom-creatine-monohydrate?variant=41887615287347</x:v>
      </x:c>
      <x:c r="Y28" s="3" t="str">
        <x:v>https://asitisnutrition.com/products/as-it-is-atom-creatine-monohydrate?variant=41887615287347</x:v>
      </x:c>
      <x:c r="Z28" s="3" t="str">
        <x:v>Family FAQ: 3g creatine monohydrate per 3.1g scoop. Flavour-specific label may differ.</x:v>
      </x:c>
      <x:c r="AA28" s="3" t="str"/>
    </x:row>
    <x:row r="29" ht="44" customHeight="1">
      <x:c r="A29" s="3" t="str">
        <x:v>AS-IT-IS Nutrition</x:v>
      </x:c>
      <x:c r="B29" s="3" t="str">
        <x:v>AS-IT-IS ATOM Creatine Monohydrate</x:v>
      </x:c>
      <x:c r="C29" s="3" t="str">
        <x:v>Monohydrate</x:v>
      </x:c>
      <x:c r="D29" s="3" t="str">
        <x:v>Micronized</x:v>
      </x:c>
      <x:c r="E29" s="3" t="str">
        <x:v>Not specified</x:v>
      </x:c>
      <x:c r="F29" s="3" t="str">
        <x:v>Flavoured</x:v>
      </x:c>
      <x:c r="G29" s="3" t="str">
        <x:v>Watermelon</x:v>
      </x:c>
      <x:c r="H29" s="3" t="str">
        <x:v>Standard pack</x:v>
      </x:c>
      <x:c r="I29" s="13" t="n">
        <x:v>100</x:v>
      </x:c>
      <x:c r="J29" s="14" t="n">
        <x:v>321</x:v>
      </x:c>
      <x:c r="K29" s="11" t="n">
        <x:f>J29/I29</x:f>
        <x:v>3.21</x:v>
      </x:c>
      <x:c r="L29" s="13" t="n">
        <x:v>96.77419354838709</x:v>
      </x:c>
      <x:c r="M29" s="15" t="n">
        <x:f>IF(OR(L29="",L29=0),"",J29/(I29*L29/100))</x:f>
        <x:v>3.317</x:v>
      </x:c>
      <x:c r="N29" s="15" t="n">
        <x:f>IF(M29="","",M29*3)</x:f>
        <x:v>9.951</x:v>
      </x:c>
      <x:c r="O29" s="10" t="n">
        <x:v>3.1</x:v>
      </x:c>
      <x:c r="P29" s="10" t="n">
        <x:v>3.1</x:v>
      </x:c>
      <x:c r="Q29" s="10" t="n">
        <x:v>3</x:v>
      </x:c>
      <x:c r="R29" s="10"/>
      <x:c r="S29" s="3" t="str">
        <x:v>In stock</x:v>
      </x:c>
      <x:c r="T29" s="12" t="d">
        <x:v>2026-10-25T00:00:00.000Z</x:v>
      </x:c>
      <x:c r="U29" s="3" t="str">
        <x:v>cr-23</x:v>
      </x:c>
      <x:c r="V29" s="3" t="str">
        <x:v>Family FAQ: 3g creatine monohydrate per 3.1g scoop. Flavour-specific label may differ. Product-family serving claim used across flavours; page also contains a generic 3g mixing instruction.</x:v>
      </x:c>
      <x:c r="W29" s="3"/>
      <x:c r="X29" s="3" t="str">
        <x:v>https://asitisnutrition.com/products/as-it-is-atom-creatine-monohydrate?variant=43281673551923</x:v>
      </x:c>
      <x:c r="Y29" s="3" t="str">
        <x:v>https://asitisnutrition.com/products/as-it-is-atom-creatine-monohydrate?variant=43281673551923</x:v>
      </x:c>
      <x:c r="Z29" s="3" t="str">
        <x:v>Family FAQ: 3g creatine monohydrate per 3.1g scoop. Flavour-specific label may differ.</x:v>
      </x:c>
      <x:c r="AA29" s="3" t="str"/>
    </x:row>
    <x:row r="30" ht="44" customHeight="1">
      <x:c r="A30" s="3" t="str">
        <x:v>AS-IT-IS Nutrition</x:v>
      </x:c>
      <x:c r="B30" s="3" t="str">
        <x:v>AS-IT-IS ATOM Creatine Monohydrate</x:v>
      </x:c>
      <x:c r="C30" s="3" t="str">
        <x:v>Monohydrate</x:v>
      </x:c>
      <x:c r="D30" s="3" t="str">
        <x:v>Micronized</x:v>
      </x:c>
      <x:c r="E30" s="3" t="str">
        <x:v>Not specified</x:v>
      </x:c>
      <x:c r="F30" s="3" t="str">
        <x:v>Flavoured</x:v>
      </x:c>
      <x:c r="G30" s="3" t="str">
        <x:v>Watermelon</x:v>
      </x:c>
      <x:c r="H30" s="3" t="str">
        <x:v>Standard pack</x:v>
      </x:c>
      <x:c r="I30" s="13" t="n">
        <x:v>250</x:v>
      </x:c>
      <x:c r="J30" s="14" t="n">
        <x:v>644</x:v>
      </x:c>
      <x:c r="K30" s="11" t="n">
        <x:f>J30/I30</x:f>
        <x:v>2.576</x:v>
      </x:c>
      <x:c r="L30" s="13" t="n">
        <x:v>96.77419354838709</x:v>
      </x:c>
      <x:c r="M30" s="15" t="n">
        <x:f>IF(OR(L30="",L30=0),"",J30/(I30*L30/100))</x:f>
        <x:v>2.661866666666667</x:v>
      </x:c>
      <x:c r="N30" s="15" t="n">
        <x:f>IF(M30="","",M30*3)</x:f>
        <x:v>7.985600000000002</x:v>
      </x:c>
      <x:c r="O30" s="10" t="n">
        <x:v>3.1</x:v>
      </x:c>
      <x:c r="P30" s="10" t="n">
        <x:v>3.1</x:v>
      </x:c>
      <x:c r="Q30" s="10" t="n">
        <x:v>3</x:v>
      </x:c>
      <x:c r="R30" s="10"/>
      <x:c r="S30" s="3" t="str">
        <x:v>Sold out</x:v>
      </x:c>
      <x:c r="T30" s="12" t="d">
        <x:v>2026-10-25T00:00:00.000Z</x:v>
      </x:c>
      <x:c r="U30" s="3" t="str">
        <x:v>cr-24</x:v>
      </x:c>
      <x:c r="V30" s="3" t="str">
        <x:v>Family FAQ: 3g creatine monohydrate per 3.1g scoop. Flavour-specific label may differ. Product-family serving claim used across flavours; page also contains a generic 3g mixing instruction.</x:v>
      </x:c>
      <x:c r="W30" s="3"/>
      <x:c r="X30" s="3" t="str">
        <x:v>https://asitisnutrition.com/products/as-it-is-atom-creatine-monohydrate?variant=43281673584691</x:v>
      </x:c>
      <x:c r="Y30" s="3" t="str">
        <x:v>https://asitisnutrition.com/products/as-it-is-atom-creatine-monohydrate?variant=43281673584691</x:v>
      </x:c>
      <x:c r="Z30" s="3" t="str">
        <x:v>Family FAQ: 3g creatine monohydrate per 3.1g scoop. Flavour-specific label may differ.</x:v>
      </x:c>
      <x:c r="AA30" s="3" t="str"/>
    </x:row>
    <x:row r="31" ht="44" customHeight="1">
      <x:c r="A31" s="3" t="str">
        <x:v>AS-IT-IS Nutrition</x:v>
      </x:c>
      <x:c r="B31" s="3" t="str">
        <x:v>AS-IT-IS ONE Creatine Monohydrate</x:v>
      </x:c>
      <x:c r="C31" s="3" t="str">
        <x:v>Monohydrate</x:v>
      </x:c>
      <x:c r="D31" s="3" t="str">
        <x:v>Micronized</x:v>
      </x:c>
      <x:c r="E31" s="3" t="str">
        <x:v>Not specified</x:v>
      </x:c>
      <x:c r="F31" s="3" t="str">
        <x:v>Single ingredient</x:v>
      </x:c>
      <x:c r="G31" s="3" t="str">
        <x:v>Unflavoured</x:v>
      </x:c>
      <x:c r="H31" s="3" t="str">
        <x:v>Standard pack</x:v>
      </x:c>
      <x:c r="I31" s="13" t="n">
        <x:v>100</x:v>
      </x:c>
      <x:c r="J31" s="14" t="n">
        <x:v>266</x:v>
      </x:c>
      <x:c r="K31" s="11" t="n">
        <x:f>J31/I31</x:f>
        <x:v>2.66</x:v>
      </x:c>
      <x:c r="L31" s="13" t="n">
        <x:v>100</x:v>
      </x:c>
      <x:c r="M31" s="15" t="n">
        <x:f>IF(OR(L31="",L31=0),"",J31/(I31*L31/100))</x:f>
        <x:v>2.66</x:v>
      </x:c>
      <x:c r="N31" s="15" t="n">
        <x:f>IF(M31="","",M31*3)</x:f>
        <x:v>7.98</x:v>
      </x:c>
      <x:c r="O31" s="10" t="n">
        <x:v>3</x:v>
      </x:c>
      <x:c r="P31" s="10" t="n">
        <x:v>3</x:v>
      </x:c>
      <x:c r="Q31" s="10" t="n">
        <x:v>3</x:v>
      </x:c>
      <x:c r="R31" s="10"/>
      <x:c r="S31" s="3" t="str">
        <x:v>In stock</x:v>
      </x:c>
      <x:c r="T31" s="12" t="d">
        <x:v>2026-10-25T00:00:00.000Z</x:v>
      </x:c>
      <x:c r="U31" s="3" t="str">
        <x:v>cr-25</x:v>
      </x:c>
      <x:c r="V31" s="3" t="str">
        <x:v>Brand single-ingredient statement; no flavours, colours, sweeteners or fillers. Current FAQ uses 3g; older product description says 2.5g. Current FAQ used for scoop only.</x:v>
      </x:c>
      <x:c r="W31" s="3"/>
      <x:c r="X31" s="3" t="str">
        <x:v>https://asitisnutrition.com/products/pure-creatine-monohydrate-powder?variant=16756154269747</x:v>
      </x:c>
      <x:c r="Y31" s="3" t="str">
        <x:v>https://asitisnutrition.com/products/pure-creatine-monohydrate-powder?variant=16756154269747</x:v>
      </x:c>
      <x:c r="Z31" s="3" t="str">
        <x:v>Brand single-ingredient statement; no flavours, colours, sweeteners or fillers.</x:v>
      </x:c>
      <x:c r="AA31" s="3" t="str"/>
    </x:row>
    <x:row r="32" ht="44" customHeight="1">
      <x:c r="A32" s="3" t="str">
        <x:v>AS-IT-IS Nutrition</x:v>
      </x:c>
      <x:c r="B32" s="3" t="str">
        <x:v>AS-IT-IS ONE Creatine Monohydrate</x:v>
      </x:c>
      <x:c r="C32" s="3" t="str">
        <x:v>Monohydrate</x:v>
      </x:c>
      <x:c r="D32" s="3" t="str">
        <x:v>Micronized</x:v>
      </x:c>
      <x:c r="E32" s="3" t="str">
        <x:v>Not specified</x:v>
      </x:c>
      <x:c r="F32" s="3" t="str">
        <x:v>Single ingredient</x:v>
      </x:c>
      <x:c r="G32" s="3" t="str">
        <x:v>Unflavoured</x:v>
      </x:c>
      <x:c r="H32" s="3" t="str">
        <x:v>Standard pack</x:v>
      </x:c>
      <x:c r="I32" s="13" t="n">
        <x:v>150</x:v>
      </x:c>
      <x:c r="J32" s="14" t="n">
        <x:v>368</x:v>
      </x:c>
      <x:c r="K32" s="11" t="n">
        <x:f>J32/I32</x:f>
        <x:v>2.453333333333333</x:v>
      </x:c>
      <x:c r="L32" s="13" t="n">
        <x:v>100</x:v>
      </x:c>
      <x:c r="M32" s="15" t="n">
        <x:f>IF(OR(L32="",L32=0),"",J32/(I32*L32/100))</x:f>
        <x:v>2.453333333333333</x:v>
      </x:c>
      <x:c r="N32" s="15" t="n">
        <x:f>IF(M32="","",M32*3)</x:f>
        <x:v>7.359999999999999</x:v>
      </x:c>
      <x:c r="O32" s="10" t="n">
        <x:v>3</x:v>
      </x:c>
      <x:c r="P32" s="10" t="n">
        <x:v>3</x:v>
      </x:c>
      <x:c r="Q32" s="10" t="n">
        <x:v>3</x:v>
      </x:c>
      <x:c r="R32" s="10"/>
      <x:c r="S32" s="3" t="str">
        <x:v>In stock</x:v>
      </x:c>
      <x:c r="T32" s="12" t="d">
        <x:v>2026-10-25T00:00:00.000Z</x:v>
      </x:c>
      <x:c r="U32" s="3" t="str">
        <x:v>cr-26</x:v>
      </x:c>
      <x:c r="V32" s="3" t="str">
        <x:v>Brand single-ingredient statement; no flavours, colours, sweeteners or fillers. Current FAQ uses 3g; older product description says 2.5g. Current FAQ used for scoop only.</x:v>
      </x:c>
      <x:c r="W32" s="3"/>
      <x:c r="X32" s="3" t="str">
        <x:v>https://asitisnutrition.com/products/pure-creatine-monohydrate-powder?variant=41496101191731</x:v>
      </x:c>
      <x:c r="Y32" s="3" t="str">
        <x:v>https://asitisnutrition.com/products/pure-creatine-monohydrate-powder?variant=41496101191731</x:v>
      </x:c>
      <x:c r="Z32" s="3" t="str">
        <x:v>Brand single-ingredient statement; no flavours, colours, sweeteners or fillers.</x:v>
      </x:c>
      <x:c r="AA32" s="3" t="str"/>
    </x:row>
    <x:row r="33" ht="44" customHeight="1">
      <x:c r="A33" s="3" t="str">
        <x:v>AS-IT-IS Nutrition</x:v>
      </x:c>
      <x:c r="B33" s="3" t="str">
        <x:v>AS-IT-IS ONE Creatine Monohydrate</x:v>
      </x:c>
      <x:c r="C33" s="3" t="str">
        <x:v>Monohydrate</x:v>
      </x:c>
      <x:c r="D33" s="3" t="str">
        <x:v>Micronized</x:v>
      </x:c>
      <x:c r="E33" s="3" t="str">
        <x:v>Not specified</x:v>
      </x:c>
      <x:c r="F33" s="3" t="str">
        <x:v>Single ingredient</x:v>
      </x:c>
      <x:c r="G33" s="3" t="str">
        <x:v>Unflavoured</x:v>
      </x:c>
      <x:c r="H33" s="3" t="str">
        <x:v>Standard pack</x:v>
      </x:c>
      <x:c r="I33" s="13" t="n">
        <x:v>200</x:v>
      </x:c>
      <x:c r="J33" s="14" t="n">
        <x:v>450</x:v>
      </x:c>
      <x:c r="K33" s="11" t="n">
        <x:f>J33/I33</x:f>
        <x:v>2.25</x:v>
      </x:c>
      <x:c r="L33" s="13" t="n">
        <x:v>100</x:v>
      </x:c>
      <x:c r="M33" s="15" t="n">
        <x:f>IF(OR(L33="",L33=0),"",J33/(I33*L33/100))</x:f>
        <x:v>2.25</x:v>
      </x:c>
      <x:c r="N33" s="15" t="n">
        <x:f>IF(M33="","",M33*3)</x:f>
        <x:v>6.75</x:v>
      </x:c>
      <x:c r="O33" s="10" t="n">
        <x:v>3</x:v>
      </x:c>
      <x:c r="P33" s="10" t="n">
        <x:v>3</x:v>
      </x:c>
      <x:c r="Q33" s="10" t="n">
        <x:v>3</x:v>
      </x:c>
      <x:c r="R33" s="10"/>
      <x:c r="S33" s="3" t="str">
        <x:v>In stock</x:v>
      </x:c>
      <x:c r="T33" s="12" t="d">
        <x:v>2026-10-25T00:00:00.000Z</x:v>
      </x:c>
      <x:c r="U33" s="3" t="str">
        <x:v>cr-27</x:v>
      </x:c>
      <x:c r="V33" s="3" t="str">
        <x:v>Brand single-ingredient statement; no flavours, colours, sweeteners or fillers. Current FAQ uses 3g; older product description says 2.5g. Current FAQ used for scoop only.</x:v>
      </x:c>
      <x:c r="W33" s="3"/>
      <x:c r="X33" s="3" t="str">
        <x:v>https://asitisnutrition.com/products/pure-creatine-monohydrate-powder?variant=41792594477107</x:v>
      </x:c>
      <x:c r="Y33" s="3" t="str">
        <x:v>https://asitisnutrition.com/products/pure-creatine-monohydrate-powder?variant=41792594477107</x:v>
      </x:c>
      <x:c r="Z33" s="3" t="str">
        <x:v>Brand single-ingredient statement; no flavours, colours, sweeteners or fillers.</x:v>
      </x:c>
      <x:c r="AA33" s="3" t="str"/>
    </x:row>
    <x:row r="34" ht="44" customHeight="1">
      <x:c r="A34" s="3" t="str">
        <x:v>AS-IT-IS Nutrition</x:v>
      </x:c>
      <x:c r="B34" s="3" t="str">
        <x:v>AS-IT-IS ONE Creatine Monohydrate</x:v>
      </x:c>
      <x:c r="C34" s="3" t="str">
        <x:v>Monohydrate</x:v>
      </x:c>
      <x:c r="D34" s="3" t="str">
        <x:v>Micronized</x:v>
      </x:c>
      <x:c r="E34" s="3" t="str">
        <x:v>Not specified</x:v>
      </x:c>
      <x:c r="F34" s="3" t="str">
        <x:v>Single ingredient</x:v>
      </x:c>
      <x:c r="G34" s="3" t="str">
        <x:v>Unflavoured</x:v>
      </x:c>
      <x:c r="H34" s="3" t="str">
        <x:v>Standard pack</x:v>
      </x:c>
      <x:c r="I34" s="13" t="n">
        <x:v>250</x:v>
      </x:c>
      <x:c r="J34" s="14" t="n">
        <x:v>534</x:v>
      </x:c>
      <x:c r="K34" s="11" t="n">
        <x:f>J34/I34</x:f>
        <x:v>2.136</x:v>
      </x:c>
      <x:c r="L34" s="13" t="n">
        <x:v>100</x:v>
      </x:c>
      <x:c r="M34" s="15" t="n">
        <x:f>IF(OR(L34="",L34=0),"",J34/(I34*L34/100))</x:f>
        <x:v>2.136</x:v>
      </x:c>
      <x:c r="N34" s="15" t="n">
        <x:f>IF(M34="","",M34*3)</x:f>
        <x:v>6.408</x:v>
      </x:c>
      <x:c r="O34" s="10" t="n">
        <x:v>3</x:v>
      </x:c>
      <x:c r="P34" s="10" t="n">
        <x:v>3</x:v>
      </x:c>
      <x:c r="Q34" s="10" t="n">
        <x:v>3</x:v>
      </x:c>
      <x:c r="R34" s="10"/>
      <x:c r="S34" s="3" t="str">
        <x:v>In stock</x:v>
      </x:c>
      <x:c r="T34" s="12" t="d">
        <x:v>2026-10-25T00:00:00.000Z</x:v>
      </x:c>
      <x:c r="U34" s="3" t="str">
        <x:v>cr-28</x:v>
      </x:c>
      <x:c r="V34" s="3" t="str">
        <x:v>Brand single-ingredient statement; no flavours, colours, sweeteners or fillers. Current FAQ uses 3g; older product description says 2.5g. Current FAQ used for scoop only.</x:v>
      </x:c>
      <x:c r="W34" s="3"/>
      <x:c r="X34" s="3" t="str">
        <x:v>https://asitisnutrition.com/products/pure-creatine-monohydrate-powder?variant=7289045352499</x:v>
      </x:c>
      <x:c r="Y34" s="3" t="str">
        <x:v>https://asitisnutrition.com/products/pure-creatine-monohydrate-powder?variant=7289045352499</x:v>
      </x:c>
      <x:c r="Z34" s="3" t="str">
        <x:v>Brand single-ingredient statement; no flavours, colours, sweeteners or fillers.</x:v>
      </x:c>
      <x:c r="AA34" s="3" t="str"/>
    </x:row>
    <x:row r="35" ht="44" customHeight="1">
      <x:c r="A35" s="3" t="str">
        <x:v>AS-IT-IS Nutrition</x:v>
      </x:c>
      <x:c r="B35" s="3" t="str">
        <x:v>AS-IT-IS ONE Creatine Monohydrate</x:v>
      </x:c>
      <x:c r="C35" s="3" t="str">
        <x:v>Monohydrate</x:v>
      </x:c>
      <x:c r="D35" s="3" t="str">
        <x:v>Micronized</x:v>
      </x:c>
      <x:c r="E35" s="3" t="str">
        <x:v>Not specified</x:v>
      </x:c>
      <x:c r="F35" s="3" t="str">
        <x:v>Single ingredient</x:v>
      </x:c>
      <x:c r="G35" s="3" t="str">
        <x:v>Unflavoured</x:v>
      </x:c>
      <x:c r="H35" s="3" t="str">
        <x:v>Standard pack</x:v>
      </x:c>
      <x:c r="I35" s="13" t="n">
        <x:v>300</x:v>
      </x:c>
      <x:c r="J35" s="14" t="n">
        <x:v>607</x:v>
      </x:c>
      <x:c r="K35" s="11" t="n">
        <x:f>J35/I35</x:f>
        <x:v>2.0233333333333334</x:v>
      </x:c>
      <x:c r="L35" s="13" t="n">
        <x:v>100</x:v>
      </x:c>
      <x:c r="M35" s="15" t="n">
        <x:f>IF(OR(L35="",L35=0),"",J35/(I35*L35/100))</x:f>
        <x:v>2.0233333333333334</x:v>
      </x:c>
      <x:c r="N35" s="15" t="n">
        <x:f>IF(M35="","",M35*3)</x:f>
        <x:v>6.07</x:v>
      </x:c>
      <x:c r="O35" s="10" t="n">
        <x:v>3</x:v>
      </x:c>
      <x:c r="P35" s="10" t="n">
        <x:v>3</x:v>
      </x:c>
      <x:c r="Q35" s="10" t="n">
        <x:v>3</x:v>
      </x:c>
      <x:c r="R35" s="10"/>
      <x:c r="S35" s="3" t="str">
        <x:v>In stock</x:v>
      </x:c>
      <x:c r="T35" s="12" t="d">
        <x:v>2026-10-25T00:00:00.000Z</x:v>
      </x:c>
      <x:c r="U35" s="3" t="str">
        <x:v>cr-29</x:v>
      </x:c>
      <x:c r="V35" s="3" t="str">
        <x:v>Brand single-ingredient statement; no flavours, colours, sweeteners or fillers. Current FAQ uses 3g; older product description says 2.5g. Current FAQ used for scoop only.</x:v>
      </x:c>
      <x:c r="W35" s="3"/>
      <x:c r="X35" s="3" t="str">
        <x:v>https://asitisnutrition.com/products/pure-creatine-monohydrate-powder?variant=41822149345331</x:v>
      </x:c>
      <x:c r="Y35" s="3" t="str">
        <x:v>https://asitisnutrition.com/products/pure-creatine-monohydrate-powder?variant=41822149345331</x:v>
      </x:c>
      <x:c r="Z35" s="3" t="str">
        <x:v>Brand single-ingredient statement; no flavours, colours, sweeteners or fillers.</x:v>
      </x:c>
      <x:c r="AA35" s="3" t="str"/>
    </x:row>
    <x:row r="36" ht="44" customHeight="1">
      <x:c r="A36" s="3" t="str">
        <x:v>AS-IT-IS Nutrition</x:v>
      </x:c>
      <x:c r="B36" s="3" t="str">
        <x:v>AS-IT-IS ONE Creatine Monohydrate</x:v>
      </x:c>
      <x:c r="C36" s="3" t="str">
        <x:v>Monohydrate</x:v>
      </x:c>
      <x:c r="D36" s="3" t="str">
        <x:v>Micronized</x:v>
      </x:c>
      <x:c r="E36" s="3" t="str">
        <x:v>Not specified</x:v>
      </x:c>
      <x:c r="F36" s="3" t="str">
        <x:v>Single ingredient</x:v>
      </x:c>
      <x:c r="G36" s="3" t="str">
        <x:v>Unflavoured</x:v>
      </x:c>
      <x:c r="H36" s="3" t="str">
        <x:v>Standard pack</x:v>
      </x:c>
      <x:c r="I36" s="13" t="n">
        <x:v>500</x:v>
      </x:c>
      <x:c r="J36" s="14" t="n">
        <x:v>920</x:v>
      </x:c>
      <x:c r="K36" s="11" t="n">
        <x:f>J36/I36</x:f>
        <x:v>1.84</x:v>
      </x:c>
      <x:c r="L36" s="13" t="n">
        <x:v>100</x:v>
      </x:c>
      <x:c r="M36" s="15" t="n">
        <x:f>IF(OR(L36="",L36=0),"",J36/(I36*L36/100))</x:f>
        <x:v>1.84</x:v>
      </x:c>
      <x:c r="N36" s="15" t="n">
        <x:f>IF(M36="","",M36*3)</x:f>
        <x:v>5.5200000000000005</x:v>
      </x:c>
      <x:c r="O36" s="10" t="n">
        <x:v>3</x:v>
      </x:c>
      <x:c r="P36" s="10" t="n">
        <x:v>3</x:v>
      </x:c>
      <x:c r="Q36" s="10" t="n">
        <x:v>3</x:v>
      </x:c>
      <x:c r="R36" s="10"/>
      <x:c r="S36" s="3" t="str">
        <x:v>In stock</x:v>
      </x:c>
      <x:c r="T36" s="12" t="d">
        <x:v>2026-10-25T00:00:00.000Z</x:v>
      </x:c>
      <x:c r="U36" s="3" t="str">
        <x:v>cr-30</x:v>
      </x:c>
      <x:c r="V36" s="3" t="str">
        <x:v>Brand single-ingredient statement; no flavours, colours, sweeteners or fillers. Current FAQ uses 3g; older product description says 2.5g. Current FAQ used for scoop only.</x:v>
      </x:c>
      <x:c r="W36" s="3"/>
      <x:c r="X36" s="3" t="str">
        <x:v>https://asitisnutrition.com/products/pure-creatine-monohydrate-powder?variant=7289045385267</x:v>
      </x:c>
      <x:c r="Y36" s="3" t="str">
        <x:v>https://asitisnutrition.com/products/pure-creatine-monohydrate-powder?variant=7289045385267</x:v>
      </x:c>
      <x:c r="Z36" s="3" t="str">
        <x:v>Brand single-ingredient statement; no flavours, colours, sweeteners or fillers.</x:v>
      </x:c>
      <x:c r="AA36" s="3" t="str"/>
    </x:row>
    <x:row r="37" ht="44" customHeight="1">
      <x:c r="A37" s="3" t="str">
        <x:v>Beastlife</x:v>
      </x:c>
      <x:c r="B37" s="3" t="str">
        <x:v>Creatine Monohydrate</x:v>
      </x:c>
      <x:c r="C37" s="3" t="str">
        <x:v>Monohydrate</x:v>
      </x:c>
      <x:c r="D37" s="3" t="str">
        <x:v>Not specified</x:v>
      </x:c>
      <x:c r="E37" s="3" t="str">
        <x:v>Not specified</x:v>
      </x:c>
      <x:c r="F37" s="3" t="str">
        <x:v>Flavoured</x:v>
      </x:c>
      <x:c r="G37" s="3" t="str">
        <x:v>Litchi</x:v>
      </x:c>
      <x:c r="H37" s="3" t="str">
        <x:v>Standard pack</x:v>
      </x:c>
      <x:c r="I37" s="13" t="n">
        <x:v>125</x:v>
      </x:c>
      <x:c r="J37" s="14" t="n">
        <x:v>367</x:v>
      </x:c>
      <x:c r="K37" s="11" t="n">
        <x:f>J37/I37</x:f>
        <x:v>2.936</x:v>
      </x:c>
      <x:c r="L37" s="13"/>
      <x:c r="M37" s="15" t="str">
        <x:f>IF(OR(L37="",L37=0),"",J37/(I37*L37/100))</x:f>
      </x:c>
      <x:c r="N37" s="15" t="str">
        <x:f>IF(M37="","",M37*3)</x:f>
      </x:c>
      <x:c r="O37" s="10"/>
      <x:c r="P37" s="10"/>
      <x:c r="Q37" s="10"/>
      <x:c r="R37" s="10"/>
      <x:c r="S37" s="3" t="str">
        <x:v>In stock</x:v>
      </x:c>
      <x:c r="T37" s="12" t="d">
        <x:v>2026-10-25T00:00:00.000Z</x:v>
      </x:c>
      <x:c r="U37" s="3" t="str">
        <x:v>cr-31</x:v>
      </x:c>
      <x:c r="V37" s="3" t="str">
        <x:v>Creatine compound concentration not verified; compound cost omitted.</x:v>
      </x:c>
      <x:c r="W37" s="3"/>
      <x:c r="X37" s="3" t="str">
        <x:v>https://beastlife.in/products/litchi-creatine-monohydrate-125g?variant=46685637247193</x:v>
      </x:c>
      <x:c r="Y37" s="3" t="str">
        <x:v>https://beastlife.in/products/litchi-creatine-monohydrate-125g?variant=46685637247193</x:v>
      </x:c>
      <x:c r="Z37" s="3" t="str">
        <x:v>Creatine compound concentration not verified; compound cost omitted.</x:v>
      </x:c>
      <x:c r="AA37" s="3" t="str"/>
    </x:row>
    <x:row r="38" ht="44" customHeight="1">
      <x:c r="A38" s="3" t="str">
        <x:v>Beastlife</x:v>
      </x:c>
      <x:c r="B38" s="3" t="str">
        <x:v>Creatine Monohydrate</x:v>
      </x:c>
      <x:c r="C38" s="3" t="str">
        <x:v>Monohydrate</x:v>
      </x:c>
      <x:c r="D38" s="3" t="str">
        <x:v>Not specified</x:v>
      </x:c>
      <x:c r="E38" s="3" t="str">
        <x:v>Not specified</x:v>
      </x:c>
      <x:c r="F38" s="3" t="str">
        <x:v>Flavoured</x:v>
      </x:c>
      <x:c r="G38" s="3" t="str">
        <x:v>Litchi</x:v>
      </x:c>
      <x:c r="H38" s="3" t="str">
        <x:v>Standard pack</x:v>
      </x:c>
      <x:c r="I38" s="13" t="n">
        <x:v>319</x:v>
      </x:c>
      <x:c r="J38" s="14" t="n">
        <x:v>630</x:v>
      </x:c>
      <x:c r="K38" s="11" t="n">
        <x:f>J38/I38</x:f>
        <x:v>1.974921630094044</x:v>
      </x:c>
      <x:c r="L38" s="13"/>
      <x:c r="M38" s="15" t="str">
        <x:f>IF(OR(L38="",L38=0),"",J38/(I38*L38/100))</x:f>
      </x:c>
      <x:c r="N38" s="15" t="str">
        <x:f>IF(M38="","",M38*3)</x:f>
      </x:c>
      <x:c r="O38" s="10"/>
      <x:c r="P38" s="10"/>
      <x:c r="Q38" s="10"/>
      <x:c r="R38" s="10"/>
      <x:c r="S38" s="3" t="str">
        <x:v>Sold out</x:v>
      </x:c>
      <x:c r="T38" s="12" t="d">
        <x:v>2026-10-25T00:00:00.000Z</x:v>
      </x:c>
      <x:c r="U38" s="3" t="str">
        <x:v>cr-32</x:v>
      </x:c>
      <x:c r="V38" s="3" t="str">
        <x:v>Creatine compound concentration not verified; compound cost omitted.</x:v>
      </x:c>
      <x:c r="W38" s="3"/>
      <x:c r="X38" s="3" t="str">
        <x:v>https://beastlife.in/products/litchi-creatine-monohydrate-319g?variant=48216190124249</x:v>
      </x:c>
      <x:c r="Y38" s="3" t="str">
        <x:v>https://beastlife.in/products/litchi-creatine-monohydrate-319g?variant=48216190124249</x:v>
      </x:c>
      <x:c r="Z38" s="3" t="str">
        <x:v>Creatine compound concentration not verified; compound cost omitted.</x:v>
      </x:c>
      <x:c r="AA38" s="3" t="str"/>
    </x:row>
    <x:row r="39" ht="44" customHeight="1">
      <x:c r="A39" s="3" t="str">
        <x:v>Beastlife</x:v>
      </x:c>
      <x:c r="B39" s="3" t="str">
        <x:v>Creatine Monohydrate</x:v>
      </x:c>
      <x:c r="C39" s="3" t="str">
        <x:v>Monohydrate</x:v>
      </x:c>
      <x:c r="D39" s="3" t="str">
        <x:v>Not specified</x:v>
      </x:c>
      <x:c r="E39" s="3" t="str">
        <x:v>Not specified</x:v>
      </x:c>
      <x:c r="F39" s="3" t="str">
        <x:v>Flavoured</x:v>
      </x:c>
      <x:c r="G39" s="3" t="str">
        <x:v>Litchi</x:v>
      </x:c>
      <x:c r="H39" s="3" t="str">
        <x:v>Standard pack</x:v>
      </x:c>
      <x:c r="I39" s="13" t="n">
        <x:v>500</x:v>
      </x:c>
      <x:c r="J39" s="14" t="n">
        <x:v>1051</x:v>
      </x:c>
      <x:c r="K39" s="11" t="n">
        <x:f>J39/I39</x:f>
        <x:v>2.102</x:v>
      </x:c>
      <x:c r="L39" s="13"/>
      <x:c r="M39" s="15" t="str">
        <x:f>IF(OR(L39="",L39=0),"",J39/(I39*L39/100))</x:f>
      </x:c>
      <x:c r="N39" s="15" t="str">
        <x:f>IF(M39="","",M39*3)</x:f>
      </x:c>
      <x:c r="O39" s="10"/>
      <x:c r="P39" s="10"/>
      <x:c r="Q39" s="10"/>
      <x:c r="R39" s="10"/>
      <x:c r="S39" s="3" t="str">
        <x:v>Sold out</x:v>
      </x:c>
      <x:c r="T39" s="12" t="d">
        <x:v>2026-10-25T00:00:00.000Z</x:v>
      </x:c>
      <x:c r="U39" s="3" t="str">
        <x:v>cr-33</x:v>
      </x:c>
      <x:c r="V39" s="3" t="str">
        <x:v>Creatine compound concentration not verified; compound cost omitted.</x:v>
      </x:c>
      <x:c r="W39" s="3"/>
      <x:c r="X39" s="3" t="str">
        <x:v>https://beastlife.in/products/litchi-creatine-monohydrate-500g?variant=47711881330905</x:v>
      </x:c>
      <x:c r="Y39" s="3" t="str">
        <x:v>https://beastlife.in/products/litchi-creatine-monohydrate-500g?variant=47711881330905</x:v>
      </x:c>
      <x:c r="Z39" s="3" t="str">
        <x:v>Creatine compound concentration not verified; compound cost omitted.</x:v>
      </x:c>
      <x:c r="AA39" s="3" t="str"/>
    </x:row>
    <x:row r="40" ht="44" customHeight="1">
      <x:c r="A40" s="3" t="str">
        <x:v>Beastlife</x:v>
      </x:c>
      <x:c r="B40" s="3" t="str">
        <x:v>Creatine Monohydrate</x:v>
      </x:c>
      <x:c r="C40" s="3" t="str">
        <x:v>Monohydrate</x:v>
      </x:c>
      <x:c r="D40" s="3" t="str">
        <x:v>Not specified</x:v>
      </x:c>
      <x:c r="E40" s="3" t="str">
        <x:v>Not specified</x:v>
      </x:c>
      <x:c r="F40" s="3" t="str">
        <x:v>Flavoured</x:v>
      </x:c>
      <x:c r="G40" s="3" t="str">
        <x:v>Peach</x:v>
      </x:c>
      <x:c r="H40" s="3" t="str">
        <x:v>Standard pack</x:v>
      </x:c>
      <x:c r="I40" s="13" t="n">
        <x:v>125</x:v>
      </x:c>
      <x:c r="J40" s="14" t="n">
        <x:v>367</x:v>
      </x:c>
      <x:c r="K40" s="11" t="n">
        <x:f>J40/I40</x:f>
        <x:v>2.936</x:v>
      </x:c>
      <x:c r="L40" s="13"/>
      <x:c r="M40" s="15" t="str">
        <x:f>IF(OR(L40="",L40=0),"",J40/(I40*L40/100))</x:f>
      </x:c>
      <x:c r="N40" s="15" t="str">
        <x:f>IF(M40="","",M40*3)</x:f>
      </x:c>
      <x:c r="O40" s="10"/>
      <x:c r="P40" s="10"/>
      <x:c r="Q40" s="10"/>
      <x:c r="R40" s="10"/>
      <x:c r="S40" s="3" t="str">
        <x:v>In stock</x:v>
      </x:c>
      <x:c r="T40" s="12" t="d">
        <x:v>2026-10-25T00:00:00.000Z</x:v>
      </x:c>
      <x:c r="U40" s="3" t="str">
        <x:v>cr-34</x:v>
      </x:c>
      <x:c r="V40" s="3" t="str">
        <x:v>Creatine compound concentration not verified; compound cost omitted.</x:v>
      </x:c>
      <x:c r="W40" s="3"/>
      <x:c r="X40" s="3" t="str">
        <x:v>https://beastlife.in/products/creatine-monohydrate-peach-flavor-125g?variant=46575368143065</x:v>
      </x:c>
      <x:c r="Y40" s="3" t="str">
        <x:v>https://beastlife.in/products/creatine-monohydrate-peach-flavor-125g?variant=46575368143065</x:v>
      </x:c>
      <x:c r="Z40" s="3" t="str">
        <x:v>Creatine compound concentration not verified; compound cost omitted.</x:v>
      </x:c>
      <x:c r="AA40" s="3" t="str"/>
    </x:row>
    <x:row r="41" ht="44" customHeight="1">
      <x:c r="A41" s="3" t="str">
        <x:v>Beastlife</x:v>
      </x:c>
      <x:c r="B41" s="3" t="str">
        <x:v>Creatine Monohydrate</x:v>
      </x:c>
      <x:c r="C41" s="3" t="str">
        <x:v>Monohydrate</x:v>
      </x:c>
      <x:c r="D41" s="3" t="str">
        <x:v>Not specified</x:v>
      </x:c>
      <x:c r="E41" s="3" t="str">
        <x:v>Not specified</x:v>
      </x:c>
      <x:c r="F41" s="3" t="str">
        <x:v>Flavoured</x:v>
      </x:c>
      <x:c r="G41" s="3" t="str">
        <x:v>Peach</x:v>
      </x:c>
      <x:c r="H41" s="3" t="str">
        <x:v>Standard pack</x:v>
      </x:c>
      <x:c r="I41" s="13" t="n">
        <x:v>319</x:v>
      </x:c>
      <x:c r="J41" s="14" t="n">
        <x:v>630</x:v>
      </x:c>
      <x:c r="K41" s="11" t="n">
        <x:f>J41/I41</x:f>
        <x:v>1.974921630094044</x:v>
      </x:c>
      <x:c r="L41" s="13"/>
      <x:c r="M41" s="15" t="str">
        <x:f>IF(OR(L41="",L41=0),"",J41/(I41*L41/100))</x:f>
      </x:c>
      <x:c r="N41" s="15" t="str">
        <x:f>IF(M41="","",M41*3)</x:f>
      </x:c>
      <x:c r="O41" s="10"/>
      <x:c r="P41" s="10"/>
      <x:c r="Q41" s="10"/>
      <x:c r="R41" s="10"/>
      <x:c r="S41" s="3" t="str">
        <x:v>In stock</x:v>
      </x:c>
      <x:c r="T41" s="12" t="d">
        <x:v>2026-10-25T00:00:00.000Z</x:v>
      </x:c>
      <x:c r="U41" s="3" t="str">
        <x:v>cr-35</x:v>
      </x:c>
      <x:c r="V41" s="3" t="str">
        <x:v>Creatine compound concentration not verified; compound cost omitted.</x:v>
      </x:c>
      <x:c r="W41" s="3"/>
      <x:c r="X41" s="3" t="str">
        <x:v>https://beastlife.in/products/creatine-monohydrate-peach-flavor-319g?variant=46575405727961</x:v>
      </x:c>
      <x:c r="Y41" s="3" t="str">
        <x:v>https://beastlife.in/products/creatine-monohydrate-peach-flavor-319g?variant=46575405727961</x:v>
      </x:c>
      <x:c r="Z41" s="3" t="str">
        <x:v>Creatine compound concentration not verified; compound cost omitted.</x:v>
      </x:c>
      <x:c r="AA41" s="3" t="str"/>
    </x:row>
    <x:row r="42" ht="44" customHeight="1">
      <x:c r="A42" s="3" t="str">
        <x:v>Beastlife</x:v>
      </x:c>
      <x:c r="B42" s="3" t="str">
        <x:v>Creatine Monohydrate</x:v>
      </x:c>
      <x:c r="C42" s="3" t="str">
        <x:v>Monohydrate</x:v>
      </x:c>
      <x:c r="D42" s="3" t="str">
        <x:v>Not specified</x:v>
      </x:c>
      <x:c r="E42" s="3" t="str">
        <x:v>Not specified</x:v>
      </x:c>
      <x:c r="F42" s="3" t="str">
        <x:v>Flavoured</x:v>
      </x:c>
      <x:c r="G42" s="3" t="str">
        <x:v>Peach</x:v>
      </x:c>
      <x:c r="H42" s="3" t="str">
        <x:v>Standard pack</x:v>
      </x:c>
      <x:c r="I42" s="13" t="n">
        <x:v>500</x:v>
      </x:c>
      <x:c r="J42" s="14" t="n">
        <x:v>1051</x:v>
      </x:c>
      <x:c r="K42" s="11" t="n">
        <x:f>J42/I42</x:f>
        <x:v>2.102</x:v>
      </x:c>
      <x:c r="L42" s="13"/>
      <x:c r="M42" s="15" t="str">
        <x:f>IF(OR(L42="",L42=0),"",J42/(I42*L42/100))</x:f>
      </x:c>
      <x:c r="N42" s="15" t="str">
        <x:f>IF(M42="","",M42*3)</x:f>
      </x:c>
      <x:c r="O42" s="10"/>
      <x:c r="P42" s="10"/>
      <x:c r="Q42" s="10"/>
      <x:c r="R42" s="10"/>
      <x:c r="S42" s="3" t="str">
        <x:v>In stock</x:v>
      </x:c>
      <x:c r="T42" s="12" t="d">
        <x:v>2026-10-25T00:00:00.000Z</x:v>
      </x:c>
      <x:c r="U42" s="3" t="str">
        <x:v>cr-36</x:v>
      </x:c>
      <x:c r="V42" s="3" t="str">
        <x:v>Creatine compound concentration not verified; compound cost omitted.</x:v>
      </x:c>
      <x:c r="W42" s="3"/>
      <x:c r="X42" s="3" t="str">
        <x:v>https://beastlife.in/products/peach-creatine-monohydrate-500g?variant=47711881494745</x:v>
      </x:c>
      <x:c r="Y42" s="3" t="str">
        <x:v>https://beastlife.in/products/peach-creatine-monohydrate-500g?variant=47711881494745</x:v>
      </x:c>
      <x:c r="Z42" s="3" t="str">
        <x:v>Creatine compound concentration not verified; compound cost omitted.</x:v>
      </x:c>
      <x:c r="AA42" s="3" t="str"/>
    </x:row>
    <x:row r="43" ht="44" customHeight="1">
      <x:c r="A43" s="3" t="str">
        <x:v>Beastlife</x:v>
      </x:c>
      <x:c r="B43" s="3" t="str">
        <x:v>Creatine Monohydrate</x:v>
      </x:c>
      <x:c r="C43" s="3" t="str">
        <x:v>Monohydrate</x:v>
      </x:c>
      <x:c r="D43" s="3" t="str">
        <x:v>Not specified</x:v>
      </x:c>
      <x:c r="E43" s="3" t="str">
        <x:v>Not specified</x:v>
      </x:c>
      <x:c r="F43" s="3" t="str">
        <x:v>Flavoured</x:v>
      </x:c>
      <x:c r="G43" s="3" t="str">
        <x:v>Shikanji</x:v>
      </x:c>
      <x:c r="H43" s="3" t="str">
        <x:v>Standard pack</x:v>
      </x:c>
      <x:c r="I43" s="13" t="n">
        <x:v>125</x:v>
      </x:c>
      <x:c r="J43" s="14" t="n">
        <x:v>367</x:v>
      </x:c>
      <x:c r="K43" s="11" t="n">
        <x:f>J43/I43</x:f>
        <x:v>2.936</x:v>
      </x:c>
      <x:c r="L43" s="13"/>
      <x:c r="M43" s="15" t="str">
        <x:f>IF(OR(L43="",L43=0),"",J43/(I43*L43/100))</x:f>
      </x:c>
      <x:c r="N43" s="15" t="str">
        <x:f>IF(M43="","",M43*3)</x:f>
      </x:c>
      <x:c r="O43" s="10"/>
      <x:c r="P43" s="10"/>
      <x:c r="Q43" s="10"/>
      <x:c r="R43" s="10"/>
      <x:c r="S43" s="3" t="str">
        <x:v>In stock</x:v>
      </x:c>
      <x:c r="T43" s="12" t="d">
        <x:v>2026-10-25T00:00:00.000Z</x:v>
      </x:c>
      <x:c r="U43" s="3" t="str">
        <x:v>cr-37</x:v>
      </x:c>
      <x:c r="V43" s="3" t="str">
        <x:v>Creatine compound concentration not verified; compound cost omitted.</x:v>
      </x:c>
      <x:c r="W43" s="3"/>
      <x:c r="X43" s="3" t="str">
        <x:v>https://beastlife.in/products/creatine-monohydrate-shikanji-flavor-125g?variant=46575440003289</x:v>
      </x:c>
      <x:c r="Y43" s="3" t="str">
        <x:v>https://beastlife.in/products/creatine-monohydrate-shikanji-flavor-125g?variant=46575440003289</x:v>
      </x:c>
      <x:c r="Z43" s="3" t="str">
        <x:v>Creatine compound concentration not verified; compound cost omitted.</x:v>
      </x:c>
      <x:c r="AA43" s="3" t="str"/>
    </x:row>
    <x:row r="44" ht="44" customHeight="1">
      <x:c r="A44" s="3" t="str">
        <x:v>Beastlife</x:v>
      </x:c>
      <x:c r="B44" s="3" t="str">
        <x:v>Creatine Monohydrate</x:v>
      </x:c>
      <x:c r="C44" s="3" t="str">
        <x:v>Monohydrate</x:v>
      </x:c>
      <x:c r="D44" s="3" t="str">
        <x:v>Not specified</x:v>
      </x:c>
      <x:c r="E44" s="3" t="str">
        <x:v>Not specified</x:v>
      </x:c>
      <x:c r="F44" s="3" t="str">
        <x:v>Flavoured</x:v>
      </x:c>
      <x:c r="G44" s="3" t="str">
        <x:v>Shikanji</x:v>
      </x:c>
      <x:c r="H44" s="3" t="str">
        <x:v>Standard pack</x:v>
      </x:c>
      <x:c r="I44" s="13" t="n">
        <x:v>319</x:v>
      </x:c>
      <x:c r="J44" s="14" t="n">
        <x:v>630</x:v>
      </x:c>
      <x:c r="K44" s="11" t="n">
        <x:f>J44/I44</x:f>
        <x:v>1.974921630094044</x:v>
      </x:c>
      <x:c r="L44" s="13"/>
      <x:c r="M44" s="15" t="str">
        <x:f>IF(OR(L44="",L44=0),"",J44/(I44*L44/100))</x:f>
      </x:c>
      <x:c r="N44" s="15" t="str">
        <x:f>IF(M44="","",M44*3)</x:f>
      </x:c>
      <x:c r="O44" s="10"/>
      <x:c r="P44" s="10"/>
      <x:c r="Q44" s="10"/>
      <x:c r="R44" s="10"/>
      <x:c r="S44" s="3" t="str">
        <x:v>In stock</x:v>
      </x:c>
      <x:c r="T44" s="12" t="d">
        <x:v>2026-10-25T00:00:00.000Z</x:v>
      </x:c>
      <x:c r="U44" s="3" t="str">
        <x:v>cr-38</x:v>
      </x:c>
      <x:c r="V44" s="3" t="str">
        <x:v>Creatine compound concentration not verified; compound cost omitted.</x:v>
      </x:c>
      <x:c r="W44" s="3"/>
      <x:c r="X44" s="3" t="str">
        <x:v>https://beastlife.in/products/creatine-monohydrate-shikanji-flavor-319g?variant=46575423357145</x:v>
      </x:c>
      <x:c r="Y44" s="3" t="str">
        <x:v>https://beastlife.in/products/creatine-monohydrate-shikanji-flavor-319g?variant=46575423357145</x:v>
      </x:c>
      <x:c r="Z44" s="3" t="str">
        <x:v>Creatine compound concentration not verified; compound cost omitted.</x:v>
      </x:c>
      <x:c r="AA44" s="3" t="str"/>
    </x:row>
    <x:row r="45" ht="44" customHeight="1">
      <x:c r="A45" s="3" t="str">
        <x:v>Beastlife</x:v>
      </x:c>
      <x:c r="B45" s="3" t="str">
        <x:v>Creatine Monohydrate</x:v>
      </x:c>
      <x:c r="C45" s="3" t="str">
        <x:v>Monohydrate</x:v>
      </x:c>
      <x:c r="D45" s="3" t="str">
        <x:v>Not specified</x:v>
      </x:c>
      <x:c r="E45" s="3" t="str">
        <x:v>Not specified</x:v>
      </x:c>
      <x:c r="F45" s="3" t="str">
        <x:v>Flavoured</x:v>
      </x:c>
      <x:c r="G45" s="3" t="str">
        <x:v>Shikanji</x:v>
      </x:c>
      <x:c r="H45" s="3" t="str">
        <x:v>Standard pack</x:v>
      </x:c>
      <x:c r="I45" s="13" t="n">
        <x:v>500</x:v>
      </x:c>
      <x:c r="J45" s="14" t="n">
        <x:v>1051</x:v>
      </x:c>
      <x:c r="K45" s="11" t="n">
        <x:f>J45/I45</x:f>
        <x:v>2.102</x:v>
      </x:c>
      <x:c r="L45" s="13"/>
      <x:c r="M45" s="15" t="str">
        <x:f>IF(OR(L45="",L45=0),"",J45/(I45*L45/100))</x:f>
      </x:c>
      <x:c r="N45" s="15" t="str">
        <x:f>IF(M45="","",M45*3)</x:f>
      </x:c>
      <x:c r="O45" s="10"/>
      <x:c r="P45" s="10"/>
      <x:c r="Q45" s="10"/>
      <x:c r="R45" s="10"/>
      <x:c r="S45" s="3" t="str">
        <x:v>In stock</x:v>
      </x:c>
      <x:c r="T45" s="12" t="d">
        <x:v>2026-10-25T00:00:00.000Z</x:v>
      </x:c>
      <x:c r="U45" s="3" t="str">
        <x:v>cr-39</x:v>
      </x:c>
      <x:c r="V45" s="3" t="str">
        <x:v>Creatine compound concentration not verified; compound cost omitted.</x:v>
      </x:c>
      <x:c r="W45" s="3"/>
      <x:c r="X45" s="3" t="str">
        <x:v>https://beastlife.in/products/shikanji-creatine-monohydrate-500g?variant=47711881560281</x:v>
      </x:c>
      <x:c r="Y45" s="3" t="str">
        <x:v>https://beastlife.in/products/shikanji-creatine-monohydrate-500g?variant=47711881560281</x:v>
      </x:c>
      <x:c r="Z45" s="3" t="str">
        <x:v>Creatine compound concentration not verified; compound cost omitted.</x:v>
      </x:c>
      <x:c r="AA45" s="3" t="str"/>
    </x:row>
    <x:row r="46" ht="44" customHeight="1">
      <x:c r="A46" s="3" t="str">
        <x:v>Beastlife</x:v>
      </x:c>
      <x:c r="B46" s="3" t="str">
        <x:v>Creatine Monohydrate</x:v>
      </x:c>
      <x:c r="C46" s="3" t="str">
        <x:v>Monohydrate</x:v>
      </x:c>
      <x:c r="D46" s="3" t="str">
        <x:v>Not specified</x:v>
      </x:c>
      <x:c r="E46" s="3" t="str">
        <x:v>Not specified</x:v>
      </x:c>
      <x:c r="F46" s="3" t="str">
        <x:v>Flavoured</x:v>
      </x:c>
      <x:c r="G46" s="3" t="str">
        <x:v>Tropical Tango</x:v>
      </x:c>
      <x:c r="H46" s="3" t="str">
        <x:v>Standard pack</x:v>
      </x:c>
      <x:c r="I46" s="13" t="n">
        <x:v>125</x:v>
      </x:c>
      <x:c r="J46" s="14" t="n">
        <x:v>367</x:v>
      </x:c>
      <x:c r="K46" s="11" t="n">
        <x:f>J46/I46</x:f>
        <x:v>2.936</x:v>
      </x:c>
      <x:c r="L46" s="13"/>
      <x:c r="M46" s="15" t="str">
        <x:f>IF(OR(L46="",L46=0),"",J46/(I46*L46/100))</x:f>
      </x:c>
      <x:c r="N46" s="15" t="str">
        <x:f>IF(M46="","",M46*3)</x:f>
      </x:c>
      <x:c r="O46" s="10"/>
      <x:c r="P46" s="10"/>
      <x:c r="Q46" s="10"/>
      <x:c r="R46" s="10"/>
      <x:c r="S46" s="3" t="str">
        <x:v>In stock</x:v>
      </x:c>
      <x:c r="T46" s="12" t="d">
        <x:v>2026-10-25T00:00:00.000Z</x:v>
      </x:c>
      <x:c r="U46" s="3" t="str">
        <x:v>cr-40</x:v>
      </x:c>
      <x:c r="V46" s="3" t="str">
        <x:v>Creatine compound concentration not verified; compound cost omitted.</x:v>
      </x:c>
      <x:c r="W46" s="3"/>
      <x:c r="X46" s="3" t="str">
        <x:v>https://beastlife.in/products/creatine-monohydrate-tropical-tango-flavor-125g?variant=46575465103577</x:v>
      </x:c>
      <x:c r="Y46" s="3" t="str">
        <x:v>https://beastlife.in/products/creatine-monohydrate-tropical-tango-flavor-125g?variant=46575465103577</x:v>
      </x:c>
      <x:c r="Z46" s="3" t="str">
        <x:v>Creatine compound concentration not verified; compound cost omitted.</x:v>
      </x:c>
      <x:c r="AA46" s="3" t="str"/>
    </x:row>
    <x:row r="47" ht="44" customHeight="1">
      <x:c r="A47" s="3" t="str">
        <x:v>Beastlife</x:v>
      </x:c>
      <x:c r="B47" s="3" t="str">
        <x:v>Creatine Monohydrate</x:v>
      </x:c>
      <x:c r="C47" s="3" t="str">
        <x:v>Monohydrate</x:v>
      </x:c>
      <x:c r="D47" s="3" t="str">
        <x:v>Not specified</x:v>
      </x:c>
      <x:c r="E47" s="3" t="str">
        <x:v>Not specified</x:v>
      </x:c>
      <x:c r="F47" s="3" t="str">
        <x:v>Flavoured</x:v>
      </x:c>
      <x:c r="G47" s="3" t="str">
        <x:v>Tropical Tango</x:v>
      </x:c>
      <x:c r="H47" s="3" t="str">
        <x:v>Standard pack</x:v>
      </x:c>
      <x:c r="I47" s="13" t="n">
        <x:v>319</x:v>
      </x:c>
      <x:c r="J47" s="14" t="n">
        <x:v>630</x:v>
      </x:c>
      <x:c r="K47" s="11" t="n">
        <x:f>J47/I47</x:f>
        <x:v>1.974921630094044</x:v>
      </x:c>
      <x:c r="L47" s="13"/>
      <x:c r="M47" s="15" t="str">
        <x:f>IF(OR(L47="",L47=0),"",J47/(I47*L47/100))</x:f>
      </x:c>
      <x:c r="N47" s="15" t="str">
        <x:f>IF(M47="","",M47*3)</x:f>
      </x:c>
      <x:c r="O47" s="10"/>
      <x:c r="P47" s="10"/>
      <x:c r="Q47" s="10"/>
      <x:c r="R47" s="10"/>
      <x:c r="S47" s="3" t="str">
        <x:v>In stock</x:v>
      </x:c>
      <x:c r="T47" s="12" t="d">
        <x:v>2026-10-25T00:00:00.000Z</x:v>
      </x:c>
      <x:c r="U47" s="3" t="str">
        <x:v>cr-41</x:v>
      </x:c>
      <x:c r="V47" s="3" t="str">
        <x:v>Creatine compound concentration not verified; compound cost omitted.</x:v>
      </x:c>
      <x:c r="W47" s="3"/>
      <x:c r="X47" s="3" t="str">
        <x:v>https://beastlife.in/products/creatine-monohydrate-tropical-tango-flavor-319g?variant=46575449276633</x:v>
      </x:c>
      <x:c r="Y47" s="3" t="str">
        <x:v>https://beastlife.in/products/creatine-monohydrate-tropical-tango-flavor-319g?variant=46575449276633</x:v>
      </x:c>
      <x:c r="Z47" s="3" t="str">
        <x:v>Creatine compound concentration not verified; compound cost omitted.</x:v>
      </x:c>
      <x:c r="AA47" s="3" t="str"/>
    </x:row>
    <x:row r="48" ht="44" customHeight="1">
      <x:c r="A48" s="3" t="str">
        <x:v>Beastlife</x:v>
      </x:c>
      <x:c r="B48" s="3" t="str">
        <x:v>Creatine Monohydrate</x:v>
      </x:c>
      <x:c r="C48" s="3" t="str">
        <x:v>Monohydrate</x:v>
      </x:c>
      <x:c r="D48" s="3" t="str">
        <x:v>Not specified</x:v>
      </x:c>
      <x:c r="E48" s="3" t="str">
        <x:v>Not specified</x:v>
      </x:c>
      <x:c r="F48" s="3" t="str">
        <x:v>Flavoured</x:v>
      </x:c>
      <x:c r="G48" s="3" t="str">
        <x:v>Tropical Tango</x:v>
      </x:c>
      <x:c r="H48" s="3" t="str">
        <x:v>Standard pack</x:v>
      </x:c>
      <x:c r="I48" s="13" t="n">
        <x:v>500</x:v>
      </x:c>
      <x:c r="J48" s="14" t="n">
        <x:v>1051</x:v>
      </x:c>
      <x:c r="K48" s="11" t="n">
        <x:f>J48/I48</x:f>
        <x:v>2.102</x:v>
      </x:c>
      <x:c r="L48" s="13"/>
      <x:c r="M48" s="15" t="str">
        <x:f>IF(OR(L48="",L48=0),"",J48/(I48*L48/100))</x:f>
      </x:c>
      <x:c r="N48" s="15" t="str">
        <x:f>IF(M48="","",M48*3)</x:f>
      </x:c>
      <x:c r="O48" s="10"/>
      <x:c r="P48" s="10"/>
      <x:c r="Q48" s="10"/>
      <x:c r="R48" s="10"/>
      <x:c r="S48" s="3" t="str">
        <x:v>In stock</x:v>
      </x:c>
      <x:c r="T48" s="12" t="d">
        <x:v>2026-10-25T00:00:00.000Z</x:v>
      </x:c>
      <x:c r="U48" s="3" t="str">
        <x:v>cr-42</x:v>
      </x:c>
      <x:c r="V48" s="3" t="str">
        <x:v>Creatine compound concentration not verified; compound cost omitted.</x:v>
      </x:c>
      <x:c r="W48" s="3"/>
      <x:c r="X48" s="3" t="str">
        <x:v>https://beastlife.in/products/tropical-tango-creatine-monohydrate-500g?variant=47711889260761</x:v>
      </x:c>
      <x:c r="Y48" s="3" t="str">
        <x:v>https://beastlife.in/products/tropical-tango-creatine-monohydrate-500g?variant=47711889260761</x:v>
      </x:c>
      <x:c r="Z48" s="3" t="str">
        <x:v>Creatine compound concentration not verified; compound cost omitted.</x:v>
      </x:c>
      <x:c r="AA48" s="3" t="str"/>
    </x:row>
    <x:row r="49" ht="44" customHeight="1">
      <x:c r="A49" s="3" t="str">
        <x:v>Beastlife</x:v>
      </x:c>
      <x:c r="B49" s="3" t="str">
        <x:v>Creatine Monohydrate</x:v>
      </x:c>
      <x:c r="C49" s="3" t="str">
        <x:v>Monohydrate</x:v>
      </x:c>
      <x:c r="D49" s="3" t="str">
        <x:v>Not specified</x:v>
      </x:c>
      <x:c r="E49" s="3" t="str">
        <x:v>Not specified</x:v>
      </x:c>
      <x:c r="F49" s="3" t="str">
        <x:v>Flavoured</x:v>
      </x:c>
      <x:c r="G49" s="3" t="str">
        <x:v>Watermelon</x:v>
      </x:c>
      <x:c r="H49" s="3" t="str">
        <x:v>Standard pack</x:v>
      </x:c>
      <x:c r="I49" s="13" t="n">
        <x:v>125</x:v>
      </x:c>
      <x:c r="J49" s="14" t="n">
        <x:v>367</x:v>
      </x:c>
      <x:c r="K49" s="11" t="n">
        <x:f>J49/I49</x:f>
        <x:v>2.936</x:v>
      </x:c>
      <x:c r="L49" s="13"/>
      <x:c r="M49" s="15" t="str">
        <x:f>IF(OR(L49="",L49=0),"",J49/(I49*L49/100))</x:f>
      </x:c>
      <x:c r="N49" s="15" t="str">
        <x:f>IF(M49="","",M49*3)</x:f>
      </x:c>
      <x:c r="O49" s="10"/>
      <x:c r="P49" s="10"/>
      <x:c r="Q49" s="10"/>
      <x:c r="R49" s="10"/>
      <x:c r="S49" s="3" t="str">
        <x:v>In stock</x:v>
      </x:c>
      <x:c r="T49" s="12" t="d">
        <x:v>2026-10-25T00:00:00.000Z</x:v>
      </x:c>
      <x:c r="U49" s="3" t="str">
        <x:v>cr-43</x:v>
      </x:c>
      <x:c r="V49" s="3" t="str">
        <x:v>Creatine compound concentration not verified; compound cost omitted.</x:v>
      </x:c>
      <x:c r="W49" s="3"/>
      <x:c r="X49" s="3" t="str">
        <x:v>https://beastlife.in/products/creatine-monohydrate-watermelon-flavor-125g?variant=46575451209945</x:v>
      </x:c>
      <x:c r="Y49" s="3" t="str">
        <x:v>https://beastlife.in/products/creatine-monohydrate-watermelon-flavor-125g?variant=46575451209945</x:v>
      </x:c>
      <x:c r="Z49" s="3" t="str">
        <x:v>Creatine compound concentration not verified; compound cost omitted.</x:v>
      </x:c>
      <x:c r="AA49" s="3" t="str"/>
    </x:row>
    <x:row r="50" ht="44" customHeight="1">
      <x:c r="A50" s="3" t="str">
        <x:v>Beastlife</x:v>
      </x:c>
      <x:c r="B50" s="3" t="str">
        <x:v>Creatine Monohydrate</x:v>
      </x:c>
      <x:c r="C50" s="3" t="str">
        <x:v>Monohydrate</x:v>
      </x:c>
      <x:c r="D50" s="3" t="str">
        <x:v>Not specified</x:v>
      </x:c>
      <x:c r="E50" s="3" t="str">
        <x:v>Not specified</x:v>
      </x:c>
      <x:c r="F50" s="3" t="str">
        <x:v>Flavoured</x:v>
      </x:c>
      <x:c r="G50" s="3" t="str">
        <x:v>Watermelon</x:v>
      </x:c>
      <x:c r="H50" s="3" t="str">
        <x:v>Standard pack</x:v>
      </x:c>
      <x:c r="I50" s="13" t="n">
        <x:v>319</x:v>
      </x:c>
      <x:c r="J50" s="14" t="n">
        <x:v>630</x:v>
      </x:c>
      <x:c r="K50" s="11" t="n">
        <x:f>J50/I50</x:f>
        <x:v>1.974921630094044</x:v>
      </x:c>
      <x:c r="L50" s="13"/>
      <x:c r="M50" s="15" t="str">
        <x:f>IF(OR(L50="",L50=0),"",J50/(I50*L50/100))</x:f>
      </x:c>
      <x:c r="N50" s="15" t="str">
        <x:f>IF(M50="","",M50*3)</x:f>
      </x:c>
      <x:c r="O50" s="10"/>
      <x:c r="P50" s="10"/>
      <x:c r="Q50" s="10"/>
      <x:c r="R50" s="10"/>
      <x:c r="S50" s="3" t="str">
        <x:v>In stock</x:v>
      </x:c>
      <x:c r="T50" s="12" t="d">
        <x:v>2026-10-25T00:00:00.000Z</x:v>
      </x:c>
      <x:c r="U50" s="3" t="str">
        <x:v>cr-44</x:v>
      </x:c>
      <x:c r="V50" s="3" t="str">
        <x:v>Creatine compound concentration not verified; compound cost omitted.</x:v>
      </x:c>
      <x:c r="W50" s="3"/>
      <x:c r="X50" s="3" t="str">
        <x:v>https://beastlife.in/products/creatine-monohydrate-watermelon-flavor-319g?variant=46575441051865</x:v>
      </x:c>
      <x:c r="Y50" s="3" t="str">
        <x:v>https://beastlife.in/products/creatine-monohydrate-watermelon-flavor-319g?variant=46575441051865</x:v>
      </x:c>
      <x:c r="Z50" s="3" t="str">
        <x:v>Creatine compound concentration not verified; compound cost omitted.</x:v>
      </x:c>
      <x:c r="AA50" s="3" t="str"/>
    </x:row>
    <x:row r="51" ht="44" customHeight="1">
      <x:c r="A51" s="3" t="str">
        <x:v>Beastlife</x:v>
      </x:c>
      <x:c r="B51" s="3" t="str">
        <x:v>Creatine Monohydrate</x:v>
      </x:c>
      <x:c r="C51" s="3" t="str">
        <x:v>Monohydrate</x:v>
      </x:c>
      <x:c r="D51" s="3" t="str">
        <x:v>Not specified</x:v>
      </x:c>
      <x:c r="E51" s="3" t="str">
        <x:v>Not specified</x:v>
      </x:c>
      <x:c r="F51" s="3" t="str">
        <x:v>Flavoured</x:v>
      </x:c>
      <x:c r="G51" s="3" t="str">
        <x:v>Watermelon</x:v>
      </x:c>
      <x:c r="H51" s="3" t="str">
        <x:v>Standard pack</x:v>
      </x:c>
      <x:c r="I51" s="13" t="n">
        <x:v>500</x:v>
      </x:c>
      <x:c r="J51" s="14" t="n">
        <x:v>1051</x:v>
      </x:c>
      <x:c r="K51" s="11" t="n">
        <x:f>J51/I51</x:f>
        <x:v>2.102</x:v>
      </x:c>
      <x:c r="L51" s="13"/>
      <x:c r="M51" s="15" t="str">
        <x:f>IF(OR(L51="",L51=0),"",J51/(I51*L51/100))</x:f>
      </x:c>
      <x:c r="N51" s="15" t="str">
        <x:f>IF(M51="","",M51*3)</x:f>
      </x:c>
      <x:c r="O51" s="10"/>
      <x:c r="P51" s="10"/>
      <x:c r="Q51" s="10"/>
      <x:c r="R51" s="10"/>
      <x:c r="S51" s="3" t="str">
        <x:v>In stock</x:v>
      </x:c>
      <x:c r="T51" s="12" t="d">
        <x:v>2026-10-25T00:00:00.000Z</x:v>
      </x:c>
      <x:c r="U51" s="3" t="str">
        <x:v>cr-45</x:v>
      </x:c>
      <x:c r="V51" s="3" t="str">
        <x:v>Creatine compound concentration not verified; compound cost omitted.</x:v>
      </x:c>
      <x:c r="W51" s="3"/>
      <x:c r="X51" s="3" t="str">
        <x:v>https://beastlife.in/products/watermelon-creatine-monohydrate-500g?variant=47711885852889</x:v>
      </x:c>
      <x:c r="Y51" s="3" t="str">
        <x:v>https://beastlife.in/products/watermelon-creatine-monohydrate-500g?variant=47711885852889</x:v>
      </x:c>
      <x:c r="Z51" s="3" t="str">
        <x:v>Creatine compound concentration not verified; compound cost omitted.</x:v>
      </x:c>
      <x:c r="AA51" s="3" t="str"/>
    </x:row>
    <x:row r="52" ht="44" customHeight="1">
      <x:c r="A52" s="3" t="str">
        <x:v>Beastlife</x:v>
      </x:c>
      <x:c r="B52" s="3" t="str">
        <x:v>Creatine Nano 400</x:v>
      </x:c>
      <x:c r="C52" s="3" t="str">
        <x:v>Monohydrate</x:v>
      </x:c>
      <x:c r="D52" s="3" t="str">
        <x:v>Nano 400 (brand claim)</x:v>
      </x:c>
      <x:c r="E52" s="3" t="str">
        <x:v>Not specified</x:v>
      </x:c>
      <x:c r="F52" s="3" t="str">
        <x:v>Flavoured</x:v>
      </x:c>
      <x:c r="G52" s="3" t="str">
        <x:v>Blueberry</x:v>
      </x:c>
      <x:c r="H52" s="3" t="str">
        <x:v>Standard pack</x:v>
      </x:c>
      <x:c r="I52" s="13" t="n">
        <x:v>115</x:v>
      </x:c>
      <x:c r="J52" s="14" t="n">
        <x:v>630</x:v>
      </x:c>
      <x:c r="K52" s="11" t="n">
        <x:f>J52/I52</x:f>
        <x:v>5.478260869565218</x:v>
      </x:c>
      <x:c r="L52" s="13"/>
      <x:c r="M52" s="15" t="str">
        <x:f>IF(OR(L52="",L52=0),"",J52/(I52*L52/100))</x:f>
      </x:c>
      <x:c r="N52" s="15" t="str">
        <x:f>IF(M52="","",M52*3)</x:f>
      </x:c>
      <x:c r="O52" s="10"/>
      <x:c r="P52" s="10"/>
      <x:c r="Q52" s="10"/>
      <x:c r="R52" s="10"/>
      <x:c r="S52" s="3" t="str">
        <x:v>Sold out</x:v>
      </x:c>
      <x:c r="T52" s="12" t="d">
        <x:v>2026-10-25T00:00:00.000Z</x:v>
      </x:c>
      <x:c r="U52" s="3" t="str">
        <x:v>cr-46</x:v>
      </x:c>
      <x:c r="V52" s="3" t="str">
        <x:v>Creatine compound concentration not verified; compound cost omitted.</x:v>
      </x:c>
      <x:c r="W52" s="3"/>
      <x:c r="X52" s="3" t="str">
        <x:v>https://beastlife.in/products/creatine-nano-400-blueberry-115-gm?variant=48574608310489</x:v>
      </x:c>
      <x:c r="Y52" s="3" t="str">
        <x:v>https://beastlife.in/products/creatine-nano-400-blueberry-115-gm?variant=48574608310489</x:v>
      </x:c>
      <x:c r="Z52" s="3" t="str">
        <x:v>Creatine compound concentration not verified; compound cost omitted.</x:v>
      </x:c>
      <x:c r="AA52" s="3" t="str"/>
    </x:row>
    <x:row r="53" ht="44" customHeight="1">
      <x:c r="A53" s="3" t="str">
        <x:v>Beastlife</x:v>
      </x:c>
      <x:c r="B53" s="3" t="str">
        <x:v>Creatine Nano 400</x:v>
      </x:c>
      <x:c r="C53" s="3" t="str">
        <x:v>Monohydrate</x:v>
      </x:c>
      <x:c r="D53" s="3" t="str">
        <x:v>Nano 400 (brand claim)</x:v>
      </x:c>
      <x:c r="E53" s="3" t="str">
        <x:v>Not specified</x:v>
      </x:c>
      <x:c r="F53" s="3" t="str">
        <x:v>Flavoured</x:v>
      </x:c>
      <x:c r="G53" s="3" t="str">
        <x:v>Blueberry</x:v>
      </x:c>
      <x:c r="H53" s="3" t="str">
        <x:v>Standard pack</x:v>
      </x:c>
      <x:c r="I53" s="13" t="n">
        <x:v>305</x:v>
      </x:c>
      <x:c r="J53" s="14" t="n">
        <x:v>1262</x:v>
      </x:c>
      <x:c r="K53" s="11" t="n">
        <x:f>J53/I53</x:f>
        <x:v>4.137704918032787</x:v>
      </x:c>
      <x:c r="L53" s="13"/>
      <x:c r="M53" s="15" t="str">
        <x:f>IF(OR(L53="",L53=0),"",J53/(I53*L53/100))</x:f>
      </x:c>
      <x:c r="N53" s="15" t="str">
        <x:f>IF(M53="","",M53*3)</x:f>
      </x:c>
      <x:c r="O53" s="10"/>
      <x:c r="P53" s="10"/>
      <x:c r="Q53" s="10"/>
      <x:c r="R53" s="10"/>
      <x:c r="S53" s="3" t="str">
        <x:v>Sold out</x:v>
      </x:c>
      <x:c r="T53" s="12" t="d">
        <x:v>2026-10-25T00:00:00.000Z</x:v>
      </x:c>
      <x:c r="U53" s="3" t="str">
        <x:v>cr-47</x:v>
      </x:c>
      <x:c r="V53" s="3" t="str">
        <x:v>Creatine compound concentration not verified; compound cost omitted.</x:v>
      </x:c>
      <x:c r="W53" s="3"/>
      <x:c r="X53" s="3" t="str">
        <x:v>https://beastlife.in/products/creatine-nano-400-blueberry-305-gm?variant=48574718869721</x:v>
      </x:c>
      <x:c r="Y53" s="3" t="str">
        <x:v>https://beastlife.in/products/creatine-nano-400-blueberry-305-gm?variant=48574718869721</x:v>
      </x:c>
      <x:c r="Z53" s="3" t="str">
        <x:v>Creatine compound concentration not verified; compound cost omitted.</x:v>
      </x:c>
      <x:c r="AA53" s="3" t="str"/>
    </x:row>
    <x:row r="54" ht="44" customHeight="1">
      <x:c r="A54" s="3" t="str">
        <x:v>Beastlife</x:v>
      </x:c>
      <x:c r="B54" s="3" t="str">
        <x:v>Creatine Nano 400</x:v>
      </x:c>
      <x:c r="C54" s="3" t="str">
        <x:v>Monohydrate</x:v>
      </x:c>
      <x:c r="D54" s="3" t="str">
        <x:v>Nano 400 (brand claim)</x:v>
      </x:c>
      <x:c r="E54" s="3" t="str">
        <x:v>Not specified</x:v>
      </x:c>
      <x:c r="F54" s="3" t="str">
        <x:v>Flavoured</x:v>
      </x:c>
      <x:c r="G54" s="3" t="str">
        <x:v>Shikanji</x:v>
      </x:c>
      <x:c r="H54" s="3" t="str">
        <x:v>Standard pack</x:v>
      </x:c>
      <x:c r="I54" s="13" t="n">
        <x:v>115</x:v>
      </x:c>
      <x:c r="J54" s="14" t="n">
        <x:v>630</x:v>
      </x:c>
      <x:c r="K54" s="11" t="n">
        <x:f>J54/I54</x:f>
        <x:v>5.478260869565218</x:v>
      </x:c>
      <x:c r="L54" s="13" t="n">
        <x:v>78.95</x:v>
      </x:c>
      <x:c r="M54" s="15" t="n">
        <x:f>IF(OR(L54="",L54=0),"",J54/(I54*L54/100))</x:f>
        <x:v>6.93889913814467</x:v>
      </x:c>
      <x:c r="N54" s="15" t="n">
        <x:f>IF(M54="","",M54*3)</x:f>
        <x:v>20.81669741443401</x:v>
      </x:c>
      <x:c r="O54" s="10" t="n">
        <x:v>3.8</x:v>
      </x:c>
      <x:c r="P54" s="10" t="n">
        <x:v>3.8</x:v>
      </x:c>
      <x:c r="Q54" s="10" t="n">
        <x:v>3</x:v>
      </x:c>
      <x:c r="R54" s="10" t="n">
        <x:v>6.12</x:v>
      </x:c>
      <x:c r="S54" s="3" t="str">
        <x:v>Sold out</x:v>
      </x:c>
      <x:c r="T54" s="12" t="d">
        <x:v>2026-10-25T00:00:00.000Z</x:v>
      </x:c>
      <x:c r="U54" s="3" t="str">
        <x:v>cr-48</x:v>
      </x:c>
      <x:c r="V54" s="3" t="str">
        <x:v>Official product label, visually verified: named creatine compound quantity; per100g stated or calculated from serving. 115g label used for same formula at 305g. Label per100g energy 6.12 differs from 0.19kcal per serving after scaling; per100g retained.</x:v>
      </x:c>
      <x:c r="W54" s="3"/>
      <x:c r="X54" s="3" t="str">
        <x:v>https://beastlife.in/products/creatine-nano-400-shikanji-115-gm?variant=48574608179417</x:v>
      </x:c>
      <x:c r="Y54" s="3" t="str">
        <x:v>https://cdn.shopify.com/s/files/1/0690/7723/7977/files/NanoShikanji-21.jpg?v=1777344658</x:v>
      </x:c>
      <x:c r="Z54" s="3" t="str">
        <x:v>Official product label, visually verified: named creatine compound quantity; per100g stated or calculated from serving.</x:v>
      </x:c>
      <x:c r="AA54" s="3" t="str">
        <x:v>Official label per100g energy or serving kcal × 100 / serving grams.</x:v>
      </x:c>
    </x:row>
    <x:row r="55" ht="44" customHeight="1">
      <x:c r="A55" s="3" t="str">
        <x:v>Beastlife</x:v>
      </x:c>
      <x:c r="B55" s="3" t="str">
        <x:v>Creatine Nano 400</x:v>
      </x:c>
      <x:c r="C55" s="3" t="str">
        <x:v>Monohydrate</x:v>
      </x:c>
      <x:c r="D55" s="3" t="str">
        <x:v>Nano 400 (brand claim)</x:v>
      </x:c>
      <x:c r="E55" s="3" t="str">
        <x:v>Not specified</x:v>
      </x:c>
      <x:c r="F55" s="3" t="str">
        <x:v>Flavoured</x:v>
      </x:c>
      <x:c r="G55" s="3" t="str">
        <x:v>Shikanji</x:v>
      </x:c>
      <x:c r="H55" s="3" t="str">
        <x:v>Standard pack</x:v>
      </x:c>
      <x:c r="I55" s="13" t="n">
        <x:v>305</x:v>
      </x:c>
      <x:c r="J55" s="14" t="n">
        <x:v>1262</x:v>
      </x:c>
      <x:c r="K55" s="11" t="n">
        <x:f>J55/I55</x:f>
        <x:v>4.137704918032787</x:v>
      </x:c>
      <x:c r="L55" s="13" t="n">
        <x:v>78.95</x:v>
      </x:c>
      <x:c r="M55" s="15" t="n">
        <x:f>IF(OR(L55="",L55=0),"",J55/(I55*L55/100))</x:f>
        <x:v>5.240918198901566</x:v>
      </x:c>
      <x:c r="N55" s="15" t="n">
        <x:f>IF(M55="","",M55*3)</x:f>
        <x:v>15.722754596704698</x:v>
      </x:c>
      <x:c r="O55" s="10" t="n">
        <x:v>3.8</x:v>
      </x:c>
      <x:c r="P55" s="10" t="n">
        <x:v>3.8</x:v>
      </x:c>
      <x:c r="Q55" s="10" t="n">
        <x:v>3</x:v>
      </x:c>
      <x:c r="R55" s="10" t="n">
        <x:v>6.12</x:v>
      </x:c>
      <x:c r="S55" s="3" t="str">
        <x:v>Sold out</x:v>
      </x:c>
      <x:c r="T55" s="12" t="d">
        <x:v>2026-10-25T00:00:00.000Z</x:v>
      </x:c>
      <x:c r="U55" s="3" t="str">
        <x:v>cr-49</x:v>
      </x:c>
      <x:c r="V55" s="3" t="str">
        <x:v>Official product label, visually verified: named creatine compound quantity; per100g stated or calculated from serving. 115g label used for same formula at 305g. Label per100g energy 6.12 differs from 0.19kcal per serving after scaling; per100g retained.</x:v>
      </x:c>
      <x:c r="W55" s="3"/>
      <x:c r="X55" s="3" t="str">
        <x:v>https://beastlife.in/products/creatine-nano-400-shikanji-305-gm?variant=48574718804185</x:v>
      </x:c>
      <x:c r="Y55" s="3" t="str">
        <x:v>https://cdn.shopify.com/s/files/1/0690/7723/7977/files/NanoShikanji-21.jpg?v=1777344658</x:v>
      </x:c>
      <x:c r="Z55" s="3" t="str">
        <x:v>Official product label, visually verified: named creatine compound quantity; per100g stated or calculated from serving.</x:v>
      </x:c>
      <x:c r="AA55" s="3" t="str">
        <x:v>Official label per100g energy or serving kcal × 100 / serving grams.</x:v>
      </x:c>
    </x:row>
    <x:row r="56" ht="44" customHeight="1">
      <x:c r="A56" s="3" t="str">
        <x:v>Beastlife</x:v>
      </x:c>
      <x:c r="B56" s="3" t="str">
        <x:v>Creatine Nano 400</x:v>
      </x:c>
      <x:c r="C56" s="3" t="str">
        <x:v>Monohydrate</x:v>
      </x:c>
      <x:c r="D56" s="3" t="str">
        <x:v>Nano 400 (brand claim)</x:v>
      </x:c>
      <x:c r="E56" s="3" t="str">
        <x:v>Not specified</x:v>
      </x:c>
      <x:c r="F56" s="3" t="str">
        <x:v>Flavoured</x:v>
      </x:c>
      <x:c r="G56" s="3" t="str">
        <x:v>Tropical Tango</x:v>
      </x:c>
      <x:c r="H56" s="3" t="str">
        <x:v>Standard pack</x:v>
      </x:c>
      <x:c r="I56" s="13" t="n">
        <x:v>115</x:v>
      </x:c>
      <x:c r="J56" s="14" t="n">
        <x:v>630</x:v>
      </x:c>
      <x:c r="K56" s="11" t="n">
        <x:f>J56/I56</x:f>
        <x:v>5.478260869565218</x:v>
      </x:c>
      <x:c r="L56" s="13"/>
      <x:c r="M56" s="15" t="str">
        <x:f>IF(OR(L56="",L56=0),"",J56/(I56*L56/100))</x:f>
      </x:c>
      <x:c r="N56" s="15" t="str">
        <x:f>IF(M56="","",M56*3)</x:f>
      </x:c>
      <x:c r="O56" s="10"/>
      <x:c r="P56" s="10"/>
      <x:c r="Q56" s="10"/>
      <x:c r="R56" s="10"/>
      <x:c r="S56" s="3" t="str">
        <x:v>Sold out</x:v>
      </x:c>
      <x:c r="T56" s="12" t="d">
        <x:v>2026-10-25T00:00:00.000Z</x:v>
      </x:c>
      <x:c r="U56" s="3" t="str">
        <x:v>cr-50</x:v>
      </x:c>
      <x:c r="V56" s="3" t="str">
        <x:v>Creatine compound concentration not verified; compound cost omitted.</x:v>
      </x:c>
      <x:c r="W56" s="3"/>
      <x:c r="X56" s="3" t="str">
        <x:v>https://beastlife.in/products/creatine-nano-400-tropical-tango-115-gm?variant=48574604837081</x:v>
      </x:c>
      <x:c r="Y56" s="3" t="str">
        <x:v>https://beastlife.in/products/creatine-nano-400-tropical-tango-115-gm?variant=48574604837081</x:v>
      </x:c>
      <x:c r="Z56" s="3" t="str">
        <x:v>Creatine compound concentration not verified; compound cost omitted.</x:v>
      </x:c>
      <x:c r="AA56" s="3" t="str"/>
    </x:row>
    <x:row r="57" ht="44" customHeight="1">
      <x:c r="A57" s="3" t="str">
        <x:v>Beastlife</x:v>
      </x:c>
      <x:c r="B57" s="3" t="str">
        <x:v>Creatine Nano 400</x:v>
      </x:c>
      <x:c r="C57" s="3" t="str">
        <x:v>Monohydrate</x:v>
      </x:c>
      <x:c r="D57" s="3" t="str">
        <x:v>Nano 400 (brand claim)</x:v>
      </x:c>
      <x:c r="E57" s="3" t="str">
        <x:v>Not specified</x:v>
      </x:c>
      <x:c r="F57" s="3" t="str">
        <x:v>Flavoured</x:v>
      </x:c>
      <x:c r="G57" s="3" t="str">
        <x:v>Tropical Tango</x:v>
      </x:c>
      <x:c r="H57" s="3" t="str">
        <x:v>Standard pack</x:v>
      </x:c>
      <x:c r="I57" s="13" t="n">
        <x:v>305</x:v>
      </x:c>
      <x:c r="J57" s="14" t="n">
        <x:v>1262</x:v>
      </x:c>
      <x:c r="K57" s="11" t="n">
        <x:f>J57/I57</x:f>
        <x:v>4.137704918032787</x:v>
      </x:c>
      <x:c r="L57" s="13"/>
      <x:c r="M57" s="15" t="str">
        <x:f>IF(OR(L57="",L57=0),"",J57/(I57*L57/100))</x:f>
      </x:c>
      <x:c r="N57" s="15" t="str">
        <x:f>IF(M57="","",M57*3)</x:f>
      </x:c>
      <x:c r="O57" s="10"/>
      <x:c r="P57" s="10"/>
      <x:c r="Q57" s="10"/>
      <x:c r="R57" s="10"/>
      <x:c r="S57" s="3" t="str">
        <x:v>Sold out</x:v>
      </x:c>
      <x:c r="T57" s="12" t="d">
        <x:v>2026-10-25T00:00:00.000Z</x:v>
      </x:c>
      <x:c r="U57" s="3" t="str">
        <x:v>cr-51</x:v>
      </x:c>
      <x:c r="V57" s="3" t="str">
        <x:v>Creatine compound concentration not verified; compound cost omitted.</x:v>
      </x:c>
      <x:c r="W57" s="3"/>
      <x:c r="X57" s="3" t="str">
        <x:v>https://beastlife.in/products/creatine-nano-400-tropical-tango-305-gm?variant=48574718673113</x:v>
      </x:c>
      <x:c r="Y57" s="3" t="str">
        <x:v>https://beastlife.in/products/creatine-nano-400-tropical-tango-305-gm?variant=48574718673113</x:v>
      </x:c>
      <x:c r="Z57" s="3" t="str">
        <x:v>Creatine compound concentration not verified; compound cost omitted.</x:v>
      </x:c>
      <x:c r="AA57" s="3" t="str"/>
    </x:row>
    <x:row r="58" ht="44" customHeight="1">
      <x:c r="A58" s="3" t="str">
        <x:v>Beastlife</x:v>
      </x:c>
      <x:c r="B58" s="3" t="str">
        <x:v>Creatine Nano 400</x:v>
      </x:c>
      <x:c r="C58" s="3" t="str">
        <x:v>Monohydrate</x:v>
      </x:c>
      <x:c r="D58" s="3" t="str">
        <x:v>Nano 400 (brand claim)</x:v>
      </x:c>
      <x:c r="E58" s="3" t="str">
        <x:v>Not specified</x:v>
      </x:c>
      <x:c r="F58" s="3" t="str">
        <x:v>Not specified</x:v>
      </x:c>
      <x:c r="G58" s="3" t="str">
        <x:v>Unflavoured</x:v>
      </x:c>
      <x:c r="H58" s="3" t="str">
        <x:v>Standard pack</x:v>
      </x:c>
      <x:c r="I58" s="13" t="n">
        <x:v>100</x:v>
      </x:c>
      <x:c r="J58" s="14" t="n">
        <x:v>630</x:v>
      </x:c>
      <x:c r="K58" s="11" t="n">
        <x:f>J58/I58</x:f>
        <x:v>6.3</x:v>
      </x:c>
      <x:c r="L58" s="13"/>
      <x:c r="M58" s="15" t="str">
        <x:f>IF(OR(L58="",L58=0),"",J58/(I58*L58/100))</x:f>
      </x:c>
      <x:c r="N58" s="15" t="str">
        <x:f>IF(M58="","",M58*3)</x:f>
      </x:c>
      <x:c r="O58" s="10"/>
      <x:c r="P58" s="10"/>
      <x:c r="Q58" s="10"/>
      <x:c r="R58" s="10"/>
      <x:c r="S58" s="3" t="str">
        <x:v>In stock</x:v>
      </x:c>
      <x:c r="T58" s="12" t="d">
        <x:v>2026-10-25T00:00:00.000Z</x:v>
      </x:c>
      <x:c r="U58" s="3" t="str">
        <x:v>cr-52</x:v>
      </x:c>
      <x:c r="V58" s="3" t="str">
        <x:v>Creatine compound concentration not verified; compound cost omitted.</x:v>
      </x:c>
      <x:c r="W58" s="3"/>
      <x:c r="X58" s="3" t="str">
        <x:v>https://beastlife.in/products/creatine-nano-400-100-gm?variant=48574494736601</x:v>
      </x:c>
      <x:c r="Y58" s="3" t="str">
        <x:v>https://beastlife.in/products/creatine-nano-400-100-gm?variant=48574494736601</x:v>
      </x:c>
      <x:c r="Z58" s="3" t="str">
        <x:v>Creatine compound concentration not verified; compound cost omitted.</x:v>
      </x:c>
      <x:c r="AA58" s="3" t="str"/>
    </x:row>
    <x:row r="59" ht="44" customHeight="1">
      <x:c r="A59" s="3" t="str">
        <x:v>Beastlife</x:v>
      </x:c>
      <x:c r="B59" s="3" t="str">
        <x:v>Creatine Nano 400</x:v>
      </x:c>
      <x:c r="C59" s="3" t="str">
        <x:v>Monohydrate</x:v>
      </x:c>
      <x:c r="D59" s="3" t="str">
        <x:v>Nano 400 (brand claim)</x:v>
      </x:c>
      <x:c r="E59" s="3" t="str">
        <x:v>Not specified</x:v>
      </x:c>
      <x:c r="F59" s="3" t="str">
        <x:v>Not specified</x:v>
      </x:c>
      <x:c r="G59" s="3" t="str">
        <x:v>Unflavoured</x:v>
      </x:c>
      <x:c r="H59" s="3" t="str">
        <x:v>Standard pack</x:v>
      </x:c>
      <x:c r="I59" s="13" t="n">
        <x:v>250</x:v>
      </x:c>
      <x:c r="J59" s="14" t="n">
        <x:v>1262</x:v>
      </x:c>
      <x:c r="K59" s="11" t="n">
        <x:f>J59/I59</x:f>
        <x:v>5.048</x:v>
      </x:c>
      <x:c r="L59" s="13"/>
      <x:c r="M59" s="15" t="str">
        <x:f>IF(OR(L59="",L59=0),"",J59/(I59*L59/100))</x:f>
      </x:c>
      <x:c r="N59" s="15" t="str">
        <x:f>IF(M59="","",M59*3)</x:f>
      </x:c>
      <x:c r="O59" s="10"/>
      <x:c r="P59" s="10"/>
      <x:c r="Q59" s="10"/>
      <x:c r="R59" s="10"/>
      <x:c r="S59" s="3" t="str">
        <x:v>Sold out</x:v>
      </x:c>
      <x:c r="T59" s="12" t="d">
        <x:v>2026-10-25T00:00:00.000Z</x:v>
      </x:c>
      <x:c r="U59" s="3" t="str">
        <x:v>cr-53</x:v>
      </x:c>
      <x:c r="V59" s="3" t="str">
        <x:v>Creatine compound concentration not verified; compound cost omitted.</x:v>
      </x:c>
      <x:c r="W59" s="3"/>
      <x:c r="X59" s="3" t="str">
        <x:v>https://beastlife.in/products/creatine-nano-400-250-gm?variant=48574600282329</x:v>
      </x:c>
      <x:c r="Y59" s="3" t="str">
        <x:v>https://beastlife.in/products/creatine-nano-400-250-gm?variant=48574600282329</x:v>
      </x:c>
      <x:c r="Z59" s="3" t="str">
        <x:v>Creatine compound concentration not verified; compound cost omitted.</x:v>
      </x:c>
      <x:c r="AA59" s="3" t="str"/>
    </x:row>
    <x:row r="60" ht="44" customHeight="1">
      <x:c r="A60" s="3" t="str">
        <x:v>Beastlife</x:v>
      </x:c>
      <x:c r="B60" s="3" t="str">
        <x:v>Super Micronized Creatine Monohydrate</x:v>
      </x:c>
      <x:c r="C60" s="3" t="str">
        <x:v>Monohydrate</x:v>
      </x:c>
      <x:c r="D60" s="3" t="str">
        <x:v>Ultra-micronized</x:v>
      </x:c>
      <x:c r="E60" s="3" t="str">
        <x:v>Not specified</x:v>
      </x:c>
      <x:c r="F60" s="3" t="str">
        <x:v>Not specified</x:v>
      </x:c>
      <x:c r="G60" s="3" t="str">
        <x:v>Unflavoured</x:v>
      </x:c>
      <x:c r="H60" s="3" t="str">
        <x:v>Standard pack</x:v>
      </x:c>
      <x:c r="I60" s="13" t="n">
        <x:v>100</x:v>
      </x:c>
      <x:c r="J60" s="14" t="n">
        <x:v>314</x:v>
      </x:c>
      <x:c r="K60" s="11" t="n">
        <x:f>J60/I60</x:f>
        <x:v>3.14</x:v>
      </x:c>
      <x:c r="L60" s="13"/>
      <x:c r="M60" s="15" t="str">
        <x:f>IF(OR(L60="",L60=0),"",J60/(I60*L60/100))</x:f>
      </x:c>
      <x:c r="N60" s="15" t="str">
        <x:f>IF(M60="","",M60*3)</x:f>
      </x:c>
      <x:c r="O60" s="10"/>
      <x:c r="P60" s="10"/>
      <x:c r="Q60" s="10"/>
      <x:c r="R60" s="10"/>
      <x:c r="S60" s="3" t="str">
        <x:v>In stock</x:v>
      </x:c>
      <x:c r="T60" s="12" t="d">
        <x:v>2026-10-25T00:00:00.000Z</x:v>
      </x:c>
      <x:c r="U60" s="3" t="str">
        <x:v>cr-54</x:v>
      </x:c>
      <x:c r="V60" s="3" t="str">
        <x:v>Creatine compound concentration not verified; compound cost omitted.</x:v>
      </x:c>
      <x:c r="W60" s="3"/>
      <x:c r="X60" s="3" t="str">
        <x:v>https://beastlife.in/products/super-micronized-creatine-monohydrate-100g?variant=45321218818265</x:v>
      </x:c>
      <x:c r="Y60" s="3" t="str">
        <x:v>https://beastlife.in/products/super-micronized-creatine-monohydrate-100g?variant=45321218818265</x:v>
      </x:c>
      <x:c r="Z60" s="3" t="str">
        <x:v>Creatine compound concentration not verified; compound cost omitted.</x:v>
      </x:c>
      <x:c r="AA60" s="3" t="str"/>
    </x:row>
    <x:row r="61" ht="44" customHeight="1">
      <x:c r="A61" s="3" t="str">
        <x:v>Beastlife</x:v>
      </x:c>
      <x:c r="B61" s="3" t="str">
        <x:v>Super Micronized Creatine Monohydrate</x:v>
      </x:c>
      <x:c r="C61" s="3" t="str">
        <x:v>Monohydrate</x:v>
      </x:c>
      <x:c r="D61" s="3" t="str">
        <x:v>Ultra-micronized</x:v>
      </x:c>
      <x:c r="E61" s="3" t="str">
        <x:v>Not specified</x:v>
      </x:c>
      <x:c r="F61" s="3" t="str">
        <x:v>Not specified</x:v>
      </x:c>
      <x:c r="G61" s="3" t="str">
        <x:v>Unflavoured</x:v>
      </x:c>
      <x:c r="H61" s="3" t="str">
        <x:v>Standard pack</x:v>
      </x:c>
      <x:c r="I61" s="13" t="n">
        <x:v>249</x:v>
      </x:c>
      <x:c r="J61" s="14" t="n">
        <x:v>577</x:v>
      </x:c>
      <x:c r="K61" s="11" t="n">
        <x:f>J61/I61</x:f>
        <x:v>2.317269076305221</x:v>
      </x:c>
      <x:c r="L61" s="13"/>
      <x:c r="M61" s="15" t="str">
        <x:f>IF(OR(L61="",L61=0),"",J61/(I61*L61/100))</x:f>
      </x:c>
      <x:c r="N61" s="15" t="str">
        <x:f>IF(M61="","",M61*3)</x:f>
      </x:c>
      <x:c r="O61" s="10"/>
      <x:c r="P61" s="10"/>
      <x:c r="Q61" s="10"/>
      <x:c r="R61" s="10"/>
      <x:c r="S61" s="3" t="str">
        <x:v>In stock</x:v>
      </x:c>
      <x:c r="T61" s="12" t="d">
        <x:v>2026-10-25T00:00:00.000Z</x:v>
      </x:c>
      <x:c r="U61" s="3" t="str">
        <x:v>cr-55</x:v>
      </x:c>
      <x:c r="V61" s="3" t="str">
        <x:v>Creatine compound concentration not verified; compound cost omitted.</x:v>
      </x:c>
      <x:c r="W61" s="3"/>
      <x:c r="X61" s="3" t="str">
        <x:v>https://beastlife.in/products/super-micronized-creatine-monohydrate-249g?variant=45321219113177</x:v>
      </x:c>
      <x:c r="Y61" s="3" t="str">
        <x:v>https://beastlife.in/products/super-micronized-creatine-monohydrate-249g?variant=45321219113177</x:v>
      </x:c>
      <x:c r="Z61" s="3" t="str">
        <x:v>Creatine compound concentration not verified; compound cost omitted.</x:v>
      </x:c>
      <x:c r="AA61" s="3" t="str"/>
    </x:row>
    <x:row r="62" ht="44" customHeight="1">
      <x:c r="A62" s="3" t="str">
        <x:v>Beastlife</x:v>
      </x:c>
      <x:c r="B62" s="3" t="str">
        <x:v>Super Micronized Creatine Monohydrate</x:v>
      </x:c>
      <x:c r="C62" s="3" t="str">
        <x:v>Monohydrate</x:v>
      </x:c>
      <x:c r="D62" s="3" t="str">
        <x:v>Ultra-micronized</x:v>
      </x:c>
      <x:c r="E62" s="3" t="str">
        <x:v>Not specified</x:v>
      </x:c>
      <x:c r="F62" s="3" t="str">
        <x:v>Not specified</x:v>
      </x:c>
      <x:c r="G62" s="3" t="str">
        <x:v>Unflavoured</x:v>
      </x:c>
      <x:c r="H62" s="3" t="str">
        <x:v>Standard pack</x:v>
      </x:c>
      <x:c r="I62" s="13" t="n">
        <x:v>500</x:v>
      </x:c>
      <x:c r="J62" s="14" t="n">
        <x:v>998</x:v>
      </x:c>
      <x:c r="K62" s="11" t="n">
        <x:f>J62/I62</x:f>
        <x:v>1.996</x:v>
      </x:c>
      <x:c r="L62" s="13"/>
      <x:c r="M62" s="15" t="str">
        <x:f>IF(OR(L62="",L62=0),"",J62/(I62*L62/100))</x:f>
      </x:c>
      <x:c r="N62" s="15" t="str">
        <x:f>IF(M62="","",M62*3)</x:f>
      </x:c>
      <x:c r="O62" s="10"/>
      <x:c r="P62" s="10"/>
      <x:c r="Q62" s="10"/>
      <x:c r="R62" s="10"/>
      <x:c r="S62" s="3" t="str">
        <x:v>In stock</x:v>
      </x:c>
      <x:c r="T62" s="12" t="d">
        <x:v>2026-10-25T00:00:00.000Z</x:v>
      </x:c>
      <x:c r="U62" s="3" t="str">
        <x:v>cr-56</x:v>
      </x:c>
      <x:c r="V62" s="3" t="str">
        <x:v>Creatine compound concentration not verified; compound cost omitted.</x:v>
      </x:c>
      <x:c r="W62" s="3"/>
      <x:c r="X62" s="3" t="str">
        <x:v>https://beastlife.in/products/super-micronized-creatine-monohydrate-500g?variant=47657807970521</x:v>
      </x:c>
      <x:c r="Y62" s="3" t="str">
        <x:v>https://beastlife.in/products/super-micronized-creatine-monohydrate-500g?variant=47657807970521</x:v>
      </x:c>
      <x:c r="Z62" s="3" t="str">
        <x:v>Creatine compound concentration not verified; compound cost omitted.</x:v>
      </x:c>
      <x:c r="AA62" s="3" t="str"/>
    </x:row>
    <x:row r="63" ht="44" customHeight="1">
      <x:c r="A63" s="3" t="str">
        <x:v>BigMuscles Nutrition</x:v>
      </x:c>
      <x:c r="B63" s="3" t="str">
        <x:v>Creatine</x:v>
      </x:c>
      <x:c r="C63" s="3" t="str">
        <x:v>Monohydrate</x:v>
      </x:c>
      <x:c r="D63" s="3" t="str">
        <x:v>Micronized</x:v>
      </x:c>
      <x:c r="E63" s="3" t="str">
        <x:v>Not specified</x:v>
      </x:c>
      <x:c r="F63" s="3" t="str">
        <x:v>Flavoured</x:v>
      </x:c>
      <x:c r="G63" s="3" t="str">
        <x:v>Blueberry</x:v>
      </x:c>
      <x:c r="H63" s="3" t="str">
        <x:v>Standard pack</x:v>
      </x:c>
      <x:c r="I63" s="13" t="n">
        <x:v>155</x:v>
      </x:c>
      <x:c r="J63" s="14" t="n">
        <x:v>249</x:v>
      </x:c>
      <x:c r="K63" s="11" t="n">
        <x:f>J63/I63</x:f>
        <x:v>1.6064516129032258</x:v>
      </x:c>
      <x:c r="L63" s="13"/>
      <x:c r="M63" s="15" t="str">
        <x:f>IF(OR(L63="",L63=0),"",J63/(I63*L63/100))</x:f>
      </x:c>
      <x:c r="N63" s="15" t="str">
        <x:f>IF(M63="","",M63*3)</x:f>
      </x:c>
      <x:c r="O63" s="10"/>
      <x:c r="P63" s="10"/>
      <x:c r="Q63" s="10"/>
      <x:c r="R63" s="10"/>
      <x:c r="S63" s="3" t="str">
        <x:v>Sold out</x:v>
      </x:c>
      <x:c r="T63" s="12" t="d">
        <x:v>2026-10-25T00:00:00.000Z</x:v>
      </x:c>
      <x:c r="U63" s="3" t="str">
        <x:v>cr-57</x:v>
      </x:c>
      <x:c r="V63" s="3" t="str">
        <x:v>Creatine compound concentration not verified; compound cost omitted.</x:v>
      </x:c>
      <x:c r="W63" s="3"/>
      <x:c r="X63" s="3" t="str">
        <x:v>https://www.bigmusclesnutrition.com/products/creatine-1?variant=40284579856483</x:v>
      </x:c>
      <x:c r="Y63" s="3" t="str">
        <x:v>https://www.bigmusclesnutrition.com/products/creatine-1?variant=40284579856483</x:v>
      </x:c>
      <x:c r="Z63" s="3" t="str">
        <x:v>Creatine compound concentration not verified; compound cost omitted.</x:v>
      </x:c>
      <x:c r="AA63" s="3" t="str"/>
    </x:row>
    <x:row r="64" ht="44" customHeight="1">
      <x:c r="A64" s="3" t="str">
        <x:v>BigMuscles Nutrition</x:v>
      </x:c>
      <x:c r="B64" s="3" t="str">
        <x:v>Creatine</x:v>
      </x:c>
      <x:c r="C64" s="3" t="str">
        <x:v>Monohydrate</x:v>
      </x:c>
      <x:c r="D64" s="3" t="str">
        <x:v>Micronized</x:v>
      </x:c>
      <x:c r="E64" s="3" t="str">
        <x:v>Not specified</x:v>
      </x:c>
      <x:c r="F64" s="3" t="str">
        <x:v>Flavoured</x:v>
      </x:c>
      <x:c r="G64" s="3" t="str">
        <x:v>Blueberry</x:v>
      </x:c>
      <x:c r="H64" s="3" t="str">
        <x:v>Standard pack</x:v>
      </x:c>
      <x:c r="I64" s="13" t="n">
        <x:v>257</x:v>
      </x:c>
      <x:c r="J64" s="14" t="n">
        <x:v>399</x:v>
      </x:c>
      <x:c r="K64" s="11" t="n">
        <x:f>J64/I64</x:f>
        <x:v>1.5525291828793775</x:v>
      </x:c>
      <x:c r="L64" s="13"/>
      <x:c r="M64" s="15" t="str">
        <x:f>IF(OR(L64="",L64=0),"",J64/(I64*L64/100))</x:f>
      </x:c>
      <x:c r="N64" s="15" t="str">
        <x:f>IF(M64="","",M64*3)</x:f>
      </x:c>
      <x:c r="O64" s="10"/>
      <x:c r="P64" s="10"/>
      <x:c r="Q64" s="10"/>
      <x:c r="R64" s="10"/>
      <x:c r="S64" s="3" t="str">
        <x:v>Sold out</x:v>
      </x:c>
      <x:c r="T64" s="12" t="d">
        <x:v>2026-10-25T00:00:00.000Z</x:v>
      </x:c>
      <x:c r="U64" s="3" t="str">
        <x:v>cr-58</x:v>
      </x:c>
      <x:c r="V64" s="3" t="str">
        <x:v>Creatine compound concentration not verified; compound cost omitted.</x:v>
      </x:c>
      <x:c r="W64" s="3"/>
      <x:c r="X64" s="3" t="str">
        <x:v>https://www.bigmusclesnutrition.com/products/creatine-1?variant=42649198461027</x:v>
      </x:c>
      <x:c r="Y64" s="3" t="str">
        <x:v>https://www.bigmusclesnutrition.com/products/creatine-1?variant=42649198461027</x:v>
      </x:c>
      <x:c r="Z64" s="3" t="str">
        <x:v>Creatine compound concentration not verified; compound cost omitted.</x:v>
      </x:c>
      <x:c r="AA64" s="3" t="str"/>
    </x:row>
    <x:row r="65" ht="44" customHeight="1">
      <x:c r="A65" s="3" t="str">
        <x:v>BigMuscles Nutrition</x:v>
      </x:c>
      <x:c r="B65" s="3" t="str">
        <x:v>Creatine</x:v>
      </x:c>
      <x:c r="C65" s="3" t="str">
        <x:v>Monohydrate</x:v>
      </x:c>
      <x:c r="D65" s="3" t="str">
        <x:v>Micronized</x:v>
      </x:c>
      <x:c r="E65" s="3" t="str">
        <x:v>Not specified</x:v>
      </x:c>
      <x:c r="F65" s="3" t="str">
        <x:v>Flavoured</x:v>
      </x:c>
      <x:c r="G65" s="3" t="str">
        <x:v>Green Apple</x:v>
      </x:c>
      <x:c r="H65" s="3" t="str">
        <x:v>Standard pack</x:v>
      </x:c>
      <x:c r="I65" s="13" t="n">
        <x:v>155</x:v>
      </x:c>
      <x:c r="J65" s="14" t="n">
        <x:v>249</x:v>
      </x:c>
      <x:c r="K65" s="11" t="n">
        <x:f>J65/I65</x:f>
        <x:v>1.6064516129032258</x:v>
      </x:c>
      <x:c r="L65" s="13"/>
      <x:c r="M65" s="15" t="str">
        <x:f>IF(OR(L65="",L65=0),"",J65/(I65*L65/100))</x:f>
      </x:c>
      <x:c r="N65" s="15" t="str">
        <x:f>IF(M65="","",M65*3)</x:f>
      </x:c>
      <x:c r="O65" s="10"/>
      <x:c r="P65" s="10"/>
      <x:c r="Q65" s="10"/>
      <x:c r="R65" s="10"/>
      <x:c r="S65" s="3" t="str">
        <x:v>Sold out</x:v>
      </x:c>
      <x:c r="T65" s="12" t="d">
        <x:v>2026-10-25T00:00:00.000Z</x:v>
      </x:c>
      <x:c r="U65" s="3" t="str">
        <x:v>cr-59</x:v>
      </x:c>
      <x:c r="V65" s="3" t="str">
        <x:v>Creatine compound concentration not verified; compound cost omitted.</x:v>
      </x:c>
      <x:c r="W65" s="3"/>
      <x:c r="X65" s="3" t="str">
        <x:v>https://www.bigmusclesnutrition.com/products/creatine-1?variant=40284579823715</x:v>
      </x:c>
      <x:c r="Y65" s="3" t="str">
        <x:v>https://www.bigmusclesnutrition.com/products/creatine-1?variant=40284579823715</x:v>
      </x:c>
      <x:c r="Z65" s="3" t="str">
        <x:v>Creatine compound concentration not verified; compound cost omitted.</x:v>
      </x:c>
      <x:c r="AA65" s="3" t="str"/>
    </x:row>
    <x:row r="66" ht="44" customHeight="1">
      <x:c r="A66" s="3" t="str">
        <x:v>BigMuscles Nutrition</x:v>
      </x:c>
      <x:c r="B66" s="3" t="str">
        <x:v>Creatine</x:v>
      </x:c>
      <x:c r="C66" s="3" t="str">
        <x:v>Monohydrate</x:v>
      </x:c>
      <x:c r="D66" s="3" t="str">
        <x:v>Micronized</x:v>
      </x:c>
      <x:c r="E66" s="3" t="str">
        <x:v>Not specified</x:v>
      </x:c>
      <x:c r="F66" s="3" t="str">
        <x:v>Flavoured</x:v>
      </x:c>
      <x:c r="G66" s="3" t="str">
        <x:v>Green Apple</x:v>
      </x:c>
      <x:c r="H66" s="3" t="str">
        <x:v>Standard pack</x:v>
      </x:c>
      <x:c r="I66" s="13" t="n">
        <x:v>257</x:v>
      </x:c>
      <x:c r="J66" s="14" t="n">
        <x:v>399</x:v>
      </x:c>
      <x:c r="K66" s="11" t="n">
        <x:f>J66/I66</x:f>
        <x:v>1.5525291828793775</x:v>
      </x:c>
      <x:c r="L66" s="13"/>
      <x:c r="M66" s="15" t="str">
        <x:f>IF(OR(L66="",L66=0),"",J66/(I66*L66/100))</x:f>
      </x:c>
      <x:c r="N66" s="15" t="str">
        <x:f>IF(M66="","",M66*3)</x:f>
      </x:c>
      <x:c r="O66" s="10"/>
      <x:c r="P66" s="10"/>
      <x:c r="Q66" s="10"/>
      <x:c r="R66" s="10"/>
      <x:c r="S66" s="3" t="str">
        <x:v>Sold out</x:v>
      </x:c>
      <x:c r="T66" s="12" t="d">
        <x:v>2026-10-25T00:00:00.000Z</x:v>
      </x:c>
      <x:c r="U66" s="3" t="str">
        <x:v>cr-60</x:v>
      </x:c>
      <x:c r="V66" s="3" t="str">
        <x:v>Creatine compound concentration not verified; compound cost omitted.</x:v>
      </x:c>
      <x:c r="W66" s="3"/>
      <x:c r="X66" s="3" t="str">
        <x:v>https://www.bigmusclesnutrition.com/products/creatine-1?variant=42649198428259</x:v>
      </x:c>
      <x:c r="Y66" s="3" t="str">
        <x:v>https://www.bigmusclesnutrition.com/products/creatine-1?variant=42649198428259</x:v>
      </x:c>
      <x:c r="Z66" s="3" t="str">
        <x:v>Creatine compound concentration not verified; compound cost omitted.</x:v>
      </x:c>
      <x:c r="AA66" s="3" t="str"/>
    </x:row>
    <x:row r="67" ht="44" customHeight="1">
      <x:c r="A67" s="3" t="str">
        <x:v>BigMuscles Nutrition</x:v>
      </x:c>
      <x:c r="B67" s="3" t="str">
        <x:v>Creatine</x:v>
      </x:c>
      <x:c r="C67" s="3" t="str">
        <x:v>Monohydrate</x:v>
      </x:c>
      <x:c r="D67" s="3" t="str">
        <x:v>Micronized</x:v>
      </x:c>
      <x:c r="E67" s="3" t="str">
        <x:v>Not specified</x:v>
      </x:c>
      <x:c r="F67" s="3" t="str">
        <x:v>Flavoured</x:v>
      </x:c>
      <x:c r="G67" s="3" t="str">
        <x:v>Mango Martini</x:v>
      </x:c>
      <x:c r="H67" s="3" t="str">
        <x:v>Standard pack</x:v>
      </x:c>
      <x:c r="I67" s="13" t="n">
        <x:v>155</x:v>
      </x:c>
      <x:c r="J67" s="14" t="n">
        <x:v>249</x:v>
      </x:c>
      <x:c r="K67" s="11" t="n">
        <x:f>J67/I67</x:f>
        <x:v>1.6064516129032258</x:v>
      </x:c>
      <x:c r="L67" s="13"/>
      <x:c r="M67" s="15" t="str">
        <x:f>IF(OR(L67="",L67=0),"",J67/(I67*L67/100))</x:f>
      </x:c>
      <x:c r="N67" s="15" t="str">
        <x:f>IF(M67="","",M67*3)</x:f>
      </x:c>
      <x:c r="O67" s="10"/>
      <x:c r="P67" s="10"/>
      <x:c r="Q67" s="10"/>
      <x:c r="R67" s="10"/>
      <x:c r="S67" s="3" t="str">
        <x:v>Sold out</x:v>
      </x:c>
      <x:c r="T67" s="12" t="d">
        <x:v>2026-10-25T00:00:00.000Z</x:v>
      </x:c>
      <x:c r="U67" s="3" t="str">
        <x:v>cr-61</x:v>
      </x:c>
      <x:c r="V67" s="3" t="str">
        <x:v>Creatine compound concentration not verified; compound cost omitted.</x:v>
      </x:c>
      <x:c r="W67" s="3"/>
      <x:c r="X67" s="3" t="str">
        <x:v>https://www.bigmusclesnutrition.com/products/creatine-1?variant=40284579790947</x:v>
      </x:c>
      <x:c r="Y67" s="3" t="str">
        <x:v>https://www.bigmusclesnutrition.com/products/creatine-1?variant=40284579790947</x:v>
      </x:c>
      <x:c r="Z67" s="3" t="str">
        <x:v>Creatine compound concentration not verified; compound cost omitted.</x:v>
      </x:c>
      <x:c r="AA67" s="3" t="str"/>
    </x:row>
    <x:row r="68" ht="44" customHeight="1">
      <x:c r="A68" s="3" t="str">
        <x:v>BigMuscles Nutrition</x:v>
      </x:c>
      <x:c r="B68" s="3" t="str">
        <x:v>Creatine</x:v>
      </x:c>
      <x:c r="C68" s="3" t="str">
        <x:v>Monohydrate</x:v>
      </x:c>
      <x:c r="D68" s="3" t="str">
        <x:v>Micronized</x:v>
      </x:c>
      <x:c r="E68" s="3" t="str">
        <x:v>Not specified</x:v>
      </x:c>
      <x:c r="F68" s="3" t="str">
        <x:v>Flavoured</x:v>
      </x:c>
      <x:c r="G68" s="3" t="str">
        <x:v>Mango Martini</x:v>
      </x:c>
      <x:c r="H68" s="3" t="str">
        <x:v>Standard pack</x:v>
      </x:c>
      <x:c r="I68" s="13" t="n">
        <x:v>257</x:v>
      </x:c>
      <x:c r="J68" s="14" t="n">
        <x:v>399</x:v>
      </x:c>
      <x:c r="K68" s="11" t="n">
        <x:f>J68/I68</x:f>
        <x:v>1.5525291828793775</x:v>
      </x:c>
      <x:c r="L68" s="13"/>
      <x:c r="M68" s="15" t="str">
        <x:f>IF(OR(L68="",L68=0),"",J68/(I68*L68/100))</x:f>
      </x:c>
      <x:c r="N68" s="15" t="str">
        <x:f>IF(M68="","",M68*3)</x:f>
      </x:c>
      <x:c r="O68" s="10"/>
      <x:c r="P68" s="10"/>
      <x:c r="Q68" s="10"/>
      <x:c r="R68" s="10"/>
      <x:c r="S68" s="3" t="str">
        <x:v>Sold out</x:v>
      </x:c>
      <x:c r="T68" s="12" t="d">
        <x:v>2026-10-25T00:00:00.000Z</x:v>
      </x:c>
      <x:c r="U68" s="3" t="str">
        <x:v>cr-62</x:v>
      </x:c>
      <x:c r="V68" s="3" t="str">
        <x:v>Creatine compound concentration not verified; compound cost omitted.</x:v>
      </x:c>
      <x:c r="W68" s="3"/>
      <x:c r="X68" s="3" t="str">
        <x:v>https://www.bigmusclesnutrition.com/products/creatine-1?variant=42649198395491</x:v>
      </x:c>
      <x:c r="Y68" s="3" t="str">
        <x:v>https://www.bigmusclesnutrition.com/products/creatine-1?variant=42649198395491</x:v>
      </x:c>
      <x:c r="Z68" s="3" t="str">
        <x:v>Creatine compound concentration not verified; compound cost omitted.</x:v>
      </x:c>
      <x:c r="AA68" s="3" t="str"/>
    </x:row>
    <x:row r="69" ht="44" customHeight="1">
      <x:c r="A69" s="3" t="str">
        <x:v>BigMuscles Nutrition</x:v>
      </x:c>
      <x:c r="B69" s="3" t="str">
        <x:v>Creatine</x:v>
      </x:c>
      <x:c r="C69" s="3" t="str">
        <x:v>Monohydrate</x:v>
      </x:c>
      <x:c r="D69" s="3" t="str">
        <x:v>Micronized</x:v>
      </x:c>
      <x:c r="E69" s="3" t="str">
        <x:v>Not specified</x:v>
      </x:c>
      <x:c r="F69" s="3" t="str">
        <x:v>Flavoured</x:v>
      </x:c>
      <x:c r="G69" s="3" t="str">
        <x:v>Sex on the Beach</x:v>
      </x:c>
      <x:c r="H69" s="3" t="str">
        <x:v>Standard pack</x:v>
      </x:c>
      <x:c r="I69" s="13" t="n">
        <x:v>155</x:v>
      </x:c>
      <x:c r="J69" s="14" t="n">
        <x:v>249</x:v>
      </x:c>
      <x:c r="K69" s="11" t="n">
        <x:f>J69/I69</x:f>
        <x:v>1.6064516129032258</x:v>
      </x:c>
      <x:c r="L69" s="13"/>
      <x:c r="M69" s="15" t="str">
        <x:f>IF(OR(L69="",L69=0),"",J69/(I69*L69/100))</x:f>
      </x:c>
      <x:c r="N69" s="15" t="str">
        <x:f>IF(M69="","",M69*3)</x:f>
      </x:c>
      <x:c r="O69" s="10"/>
      <x:c r="P69" s="10"/>
      <x:c r="Q69" s="10"/>
      <x:c r="R69" s="10"/>
      <x:c r="S69" s="3" t="str">
        <x:v>Sold out</x:v>
      </x:c>
      <x:c r="T69" s="12" t="d">
        <x:v>2026-10-25T00:00:00.000Z</x:v>
      </x:c>
      <x:c r="U69" s="3" t="str">
        <x:v>cr-63</x:v>
      </x:c>
      <x:c r="V69" s="3" t="str">
        <x:v>Creatine compound concentration not verified; compound cost omitted.</x:v>
      </x:c>
      <x:c r="W69" s="3"/>
      <x:c r="X69" s="3" t="str">
        <x:v>https://www.bigmusclesnutrition.com/products/creatine-1?variant=40284579692643</x:v>
      </x:c>
      <x:c r="Y69" s="3" t="str">
        <x:v>https://www.bigmusclesnutrition.com/products/creatine-1?variant=40284579692643</x:v>
      </x:c>
      <x:c r="Z69" s="3" t="str">
        <x:v>Creatine compound concentration not verified; compound cost omitted.</x:v>
      </x:c>
      <x:c r="AA69" s="3" t="str"/>
    </x:row>
    <x:row r="70" ht="44" customHeight="1">
      <x:c r="A70" s="3" t="str">
        <x:v>BigMuscles Nutrition</x:v>
      </x:c>
      <x:c r="B70" s="3" t="str">
        <x:v>Creatine</x:v>
      </x:c>
      <x:c r="C70" s="3" t="str">
        <x:v>Monohydrate</x:v>
      </x:c>
      <x:c r="D70" s="3" t="str">
        <x:v>Micronized</x:v>
      </x:c>
      <x:c r="E70" s="3" t="str">
        <x:v>Not specified</x:v>
      </x:c>
      <x:c r="F70" s="3" t="str">
        <x:v>Flavoured</x:v>
      </x:c>
      <x:c r="G70" s="3" t="str">
        <x:v>Sex on the Beach</x:v>
      </x:c>
      <x:c r="H70" s="3" t="str">
        <x:v>Standard pack</x:v>
      </x:c>
      <x:c r="I70" s="13" t="n">
        <x:v>257</x:v>
      </x:c>
      <x:c r="J70" s="14" t="n">
        <x:v>399</x:v>
      </x:c>
      <x:c r="K70" s="11" t="n">
        <x:f>J70/I70</x:f>
        <x:v>1.5525291828793775</x:v>
      </x:c>
      <x:c r="L70" s="13"/>
      <x:c r="M70" s="15" t="str">
        <x:f>IF(OR(L70="",L70=0),"",J70/(I70*L70/100))</x:f>
      </x:c>
      <x:c r="N70" s="15" t="str">
        <x:f>IF(M70="","",M70*3)</x:f>
      </x:c>
      <x:c r="O70" s="10"/>
      <x:c r="P70" s="10"/>
      <x:c r="Q70" s="10"/>
      <x:c r="R70" s="10"/>
      <x:c r="S70" s="3" t="str">
        <x:v>Sold out</x:v>
      </x:c>
      <x:c r="T70" s="12" t="d">
        <x:v>2026-10-25T00:00:00.000Z</x:v>
      </x:c>
      <x:c r="U70" s="3" t="str">
        <x:v>cr-64</x:v>
      </x:c>
      <x:c r="V70" s="3" t="str">
        <x:v>Creatine compound concentration not verified; compound cost omitted.</x:v>
      </x:c>
      <x:c r="W70" s="3"/>
      <x:c r="X70" s="3" t="str">
        <x:v>https://www.bigmusclesnutrition.com/products/creatine-1?variant=42649198329955</x:v>
      </x:c>
      <x:c r="Y70" s="3" t="str">
        <x:v>https://www.bigmusclesnutrition.com/products/creatine-1?variant=42649198329955</x:v>
      </x:c>
      <x:c r="Z70" s="3" t="str">
        <x:v>Creatine compound concentration not verified; compound cost omitted.</x:v>
      </x:c>
      <x:c r="AA70" s="3" t="str"/>
    </x:row>
    <x:row r="71" ht="44" customHeight="1">
      <x:c r="A71" s="3" t="str">
        <x:v>BigMuscles Nutrition</x:v>
      </x:c>
      <x:c r="B71" s="3" t="str">
        <x:v>Creatine</x:v>
      </x:c>
      <x:c r="C71" s="3" t="str">
        <x:v>Monohydrate</x:v>
      </x:c>
      <x:c r="D71" s="3" t="str">
        <x:v>Micronized</x:v>
      </x:c>
      <x:c r="E71" s="3" t="str">
        <x:v>Not specified</x:v>
      </x:c>
      <x:c r="F71" s="3" t="str">
        <x:v>Not specified</x:v>
      </x:c>
      <x:c r="G71" s="3" t="str">
        <x:v>Unflavoured</x:v>
      </x:c>
      <x:c r="H71" s="3" t="str">
        <x:v>Standard pack</x:v>
      </x:c>
      <x:c r="I71" s="13" t="n">
        <x:v>102</x:v>
      </x:c>
      <x:c r="J71" s="14" t="n">
        <x:v>199</x:v>
      </x:c>
      <x:c r="K71" s="11" t="n">
        <x:f>J71/I71</x:f>
        <x:v>1.9509803921568627</x:v>
      </x:c>
      <x:c r="L71" s="13"/>
      <x:c r="M71" s="15" t="str">
        <x:f>IF(OR(L71="",L71=0),"",J71/(I71*L71/100))</x:f>
      </x:c>
      <x:c r="N71" s="15" t="str">
        <x:f>IF(M71="","",M71*3)</x:f>
      </x:c>
      <x:c r="O71" s="10"/>
      <x:c r="P71" s="10"/>
      <x:c r="Q71" s="10"/>
      <x:c r="R71" s="10"/>
      <x:c r="S71" s="3" t="str">
        <x:v>In stock</x:v>
      </x:c>
      <x:c r="T71" s="12" t="d">
        <x:v>2026-10-25T00:00:00.000Z</x:v>
      </x:c>
      <x:c r="U71" s="3" t="str">
        <x:v>cr-65</x:v>
      </x:c>
      <x:c r="V71" s="3" t="str">
        <x:v>Creatine compound concentration not verified; compound cost omitted.</x:v>
      </x:c>
      <x:c r="W71" s="3"/>
      <x:c r="X71" s="3" t="str">
        <x:v>https://www.bigmusclesnutrition.com/products/creatine-1?variant=40937088778339</x:v>
      </x:c>
      <x:c r="Y71" s="3" t="str">
        <x:v>https://www.bigmusclesnutrition.com/products/creatine-1?variant=40937088778339</x:v>
      </x:c>
      <x:c r="Z71" s="3" t="str">
        <x:v>Creatine compound concentration not verified; compound cost omitted.</x:v>
      </x:c>
      <x:c r="AA71" s="3" t="str"/>
    </x:row>
    <x:row r="72" ht="44" customHeight="1">
      <x:c r="A72" s="3" t="str">
        <x:v>BigMuscles Nutrition</x:v>
      </x:c>
      <x:c r="B72" s="3" t="str">
        <x:v>Creatine</x:v>
      </x:c>
      <x:c r="C72" s="3" t="str">
        <x:v>Monohydrate</x:v>
      </x:c>
      <x:c r="D72" s="3" t="str">
        <x:v>Micronized</x:v>
      </x:c>
      <x:c r="E72" s="3" t="str">
        <x:v>Not specified</x:v>
      </x:c>
      <x:c r="F72" s="3" t="str">
        <x:v>Not specified</x:v>
      </x:c>
      <x:c r="G72" s="3" t="str">
        <x:v>Unflavoured</x:v>
      </x:c>
      <x:c r="H72" s="3" t="str">
        <x:v>Standard pack</x:v>
      </x:c>
      <x:c r="I72" s="13" t="n">
        <x:v>155</x:v>
      </x:c>
      <x:c r="J72" s="14" t="n">
        <x:v>249</x:v>
      </x:c>
      <x:c r="K72" s="11" t="n">
        <x:f>J72/I72</x:f>
        <x:v>1.6064516129032258</x:v>
      </x:c>
      <x:c r="L72" s="13"/>
      <x:c r="M72" s="15" t="str">
        <x:f>IF(OR(L72="",L72=0),"",J72/(I72*L72/100))</x:f>
      </x:c>
      <x:c r="N72" s="15" t="str">
        <x:f>IF(M72="","",M72*3)</x:f>
      </x:c>
      <x:c r="O72" s="10"/>
      <x:c r="P72" s="10"/>
      <x:c r="Q72" s="10"/>
      <x:c r="R72" s="10"/>
      <x:c r="S72" s="3" t="str">
        <x:v>Sold out</x:v>
      </x:c>
      <x:c r="T72" s="12" t="d">
        <x:v>2026-10-25T00:00:00.000Z</x:v>
      </x:c>
      <x:c r="U72" s="3" t="str">
        <x:v>cr-66</x:v>
      </x:c>
      <x:c r="V72" s="3" t="str">
        <x:v>Creatine compound concentration not verified; compound cost omitted.</x:v>
      </x:c>
      <x:c r="W72" s="3"/>
      <x:c r="X72" s="3" t="str">
        <x:v>https://www.bigmusclesnutrition.com/products/creatine-1?variant=40284579725411</x:v>
      </x:c>
      <x:c r="Y72" s="3" t="str">
        <x:v>https://www.bigmusclesnutrition.com/products/creatine-1?variant=40284579725411</x:v>
      </x:c>
      <x:c r="Z72" s="3" t="str">
        <x:v>Creatine compound concentration not verified; compound cost omitted.</x:v>
      </x:c>
      <x:c r="AA72" s="3" t="str"/>
    </x:row>
    <x:row r="73" ht="44" customHeight="1">
      <x:c r="A73" s="3" t="str">
        <x:v>BigMuscles Nutrition</x:v>
      </x:c>
      <x:c r="B73" s="3" t="str">
        <x:v>Creatine</x:v>
      </x:c>
      <x:c r="C73" s="3" t="str">
        <x:v>Monohydrate</x:v>
      </x:c>
      <x:c r="D73" s="3" t="str">
        <x:v>Micronized</x:v>
      </x:c>
      <x:c r="E73" s="3" t="str">
        <x:v>Not specified</x:v>
      </x:c>
      <x:c r="F73" s="3" t="str">
        <x:v>Flavoured</x:v>
      </x:c>
      <x:c r="G73" s="3" t="str">
        <x:v>Watermelon Slush</x:v>
      </x:c>
      <x:c r="H73" s="3" t="str">
        <x:v>Standard pack</x:v>
      </x:c>
      <x:c r="I73" s="13" t="n">
        <x:v>155</x:v>
      </x:c>
      <x:c r="J73" s="14" t="n">
        <x:v>249</x:v>
      </x:c>
      <x:c r="K73" s="11" t="n">
        <x:f>J73/I73</x:f>
        <x:v>1.6064516129032258</x:v>
      </x:c>
      <x:c r="L73" s="13"/>
      <x:c r="M73" s="15" t="str">
        <x:f>IF(OR(L73="",L73=0),"",J73/(I73*L73/100))</x:f>
      </x:c>
      <x:c r="N73" s="15" t="str">
        <x:f>IF(M73="","",M73*3)</x:f>
      </x:c>
      <x:c r="O73" s="10"/>
      <x:c r="P73" s="10"/>
      <x:c r="Q73" s="10"/>
      <x:c r="R73" s="10"/>
      <x:c r="S73" s="3" t="str">
        <x:v>Sold out</x:v>
      </x:c>
      <x:c r="T73" s="12" t="d">
        <x:v>2026-10-25T00:00:00.000Z</x:v>
      </x:c>
      <x:c r="U73" s="3" t="str">
        <x:v>cr-67</x:v>
      </x:c>
      <x:c r="V73" s="3" t="str">
        <x:v>Creatine compound concentration not verified; compound cost omitted.</x:v>
      </x:c>
      <x:c r="W73" s="3"/>
      <x:c r="X73" s="3" t="str">
        <x:v>https://www.bigmusclesnutrition.com/products/creatine-1?variant=40284579758179</x:v>
      </x:c>
      <x:c r="Y73" s="3" t="str">
        <x:v>https://www.bigmusclesnutrition.com/products/creatine-1?variant=40284579758179</x:v>
      </x:c>
      <x:c r="Z73" s="3" t="str">
        <x:v>Creatine compound concentration not verified; compound cost omitted.</x:v>
      </x:c>
      <x:c r="AA73" s="3" t="str"/>
    </x:row>
    <x:row r="74" ht="44" customHeight="1">
      <x:c r="A74" s="3" t="str">
        <x:v>BigMuscles Nutrition</x:v>
      </x:c>
      <x:c r="B74" s="3" t="str">
        <x:v>Creatine</x:v>
      </x:c>
      <x:c r="C74" s="3" t="str">
        <x:v>Monohydrate</x:v>
      </x:c>
      <x:c r="D74" s="3" t="str">
        <x:v>Micronized</x:v>
      </x:c>
      <x:c r="E74" s="3" t="str">
        <x:v>Not specified</x:v>
      </x:c>
      <x:c r="F74" s="3" t="str">
        <x:v>Flavoured</x:v>
      </x:c>
      <x:c r="G74" s="3" t="str">
        <x:v>Watermelon Slush</x:v>
      </x:c>
      <x:c r="H74" s="3" t="str">
        <x:v>Standard pack</x:v>
      </x:c>
      <x:c r="I74" s="13" t="n">
        <x:v>257</x:v>
      </x:c>
      <x:c r="J74" s="14" t="n">
        <x:v>399</x:v>
      </x:c>
      <x:c r="K74" s="11" t="n">
        <x:f>J74/I74</x:f>
        <x:v>1.5525291828793775</x:v>
      </x:c>
      <x:c r="L74" s="13"/>
      <x:c r="M74" s="15" t="str">
        <x:f>IF(OR(L74="",L74=0),"",J74/(I74*L74/100))</x:f>
      </x:c>
      <x:c r="N74" s="15" t="str">
        <x:f>IF(M74="","",M74*3)</x:f>
      </x:c>
      <x:c r="O74" s="10"/>
      <x:c r="P74" s="10"/>
      <x:c r="Q74" s="10"/>
      <x:c r="R74" s="10"/>
      <x:c r="S74" s="3" t="str">
        <x:v>Sold out</x:v>
      </x:c>
      <x:c r="T74" s="12" t="d">
        <x:v>2026-10-25T00:00:00.000Z</x:v>
      </x:c>
      <x:c r="U74" s="3" t="str">
        <x:v>cr-68</x:v>
      </x:c>
      <x:c r="V74" s="3" t="str">
        <x:v>Creatine compound concentration not verified; compound cost omitted.</x:v>
      </x:c>
      <x:c r="W74" s="3"/>
      <x:c r="X74" s="3" t="str">
        <x:v>https://www.bigmusclesnutrition.com/products/creatine-1?variant=42649198362723</x:v>
      </x:c>
      <x:c r="Y74" s="3" t="str">
        <x:v>https://www.bigmusclesnutrition.com/products/creatine-1?variant=42649198362723</x:v>
      </x:c>
      <x:c r="Z74" s="3" t="str">
        <x:v>Creatine compound concentration not verified; compound cost omitted.</x:v>
      </x:c>
      <x:c r="AA74" s="3" t="str"/>
    </x:row>
    <x:row r="75" ht="44" customHeight="1">
      <x:c r="A75" s="3" t="str">
        <x:v>Fast&amp;Up</x:v>
      </x:c>
      <x:c r="B75" s="3" t="str">
        <x:v>Creatine Monohydrate Essentials</x:v>
      </x:c>
      <x:c r="C75" s="3" t="str">
        <x:v>Monohydrate</x:v>
      </x:c>
      <x:c r="D75" s="3" t="str">
        <x:v>Ultra-micronized</x:v>
      </x:c>
      <x:c r="E75" s="3" t="str">
        <x:v>Not specified</x:v>
      </x:c>
      <x:c r="F75" s="3" t="str">
        <x:v>Flavoured</x:v>
      </x:c>
      <x:c r="G75" s="3" t="str">
        <x:v>Orange</x:v>
      </x:c>
      <x:c r="H75" s="3" t="str">
        <x:v>Standard pack</x:v>
      </x:c>
      <x:c r="I75" s="13" t="n">
        <x:v>100</x:v>
      </x:c>
      <x:c r="J75" s="14" t="n">
        <x:v>498.75</x:v>
      </x:c>
      <x:c r="K75" s="11" t="n">
        <x:f>J75/I75</x:f>
        <x:v>4.9875</x:v>
      </x:c>
      <x:c r="L75" s="13"/>
      <x:c r="M75" s="15" t="str">
        <x:f>IF(OR(L75="",L75=0),"",J75/(I75*L75/100))</x:f>
      </x:c>
      <x:c r="N75" s="15" t="str">
        <x:f>IF(M75="","",M75*3)</x:f>
      </x:c>
      <x:c r="O75" s="10"/>
      <x:c r="P75" s="10"/>
      <x:c r="Q75" s="10"/>
      <x:c r="R75" s="10"/>
      <x:c r="S75" s="3" t="str">
        <x:v>In stock</x:v>
      </x:c>
      <x:c r="T75" s="12" t="d">
        <x:v>2026-10-25T00:00:00.000Z</x:v>
      </x:c>
      <x:c r="U75" s="3" t="str">
        <x:v>cr-69</x:v>
      </x:c>
      <x:c r="V75" s="3" t="str">
        <x:v>Creatine compound concentration not verified; compound cost omitted.</x:v>
      </x:c>
      <x:c r="W75" s="3"/>
      <x:c r="X75" s="3" t="str">
        <x:v>https://www.fastandup.in/products/creatine-monohydrate-essentials-orange-flavour?variant=41718442000459</x:v>
      </x:c>
      <x:c r="Y75" s="3" t="str">
        <x:v>https://www.fastandup.in/products/creatine-monohydrate-essentials-orange-flavour?variant=41718442000459</x:v>
      </x:c>
      <x:c r="Z75" s="3" t="str">
        <x:v>Creatine compound concentration not verified; compound cost omitted.</x:v>
      </x:c>
      <x:c r="AA75" s="3" t="str"/>
    </x:row>
    <x:row r="76" ht="44" customHeight="1">
      <x:c r="A76" s="3" t="str">
        <x:v>Fast&amp;Up</x:v>
      </x:c>
      <x:c r="B76" s="3" t="str">
        <x:v>Creatine Monohydrate Essentials</x:v>
      </x:c>
      <x:c r="C76" s="3" t="str">
        <x:v>Monohydrate</x:v>
      </x:c>
      <x:c r="D76" s="3" t="str">
        <x:v>Ultra-micronized</x:v>
      </x:c>
      <x:c r="E76" s="3" t="str">
        <x:v>Not specified</x:v>
      </x:c>
      <x:c r="F76" s="3" t="str">
        <x:v>Not specified</x:v>
      </x:c>
      <x:c r="G76" s="3" t="str">
        <x:v>Unflavoured</x:v>
      </x:c>
      <x:c r="H76" s="3" t="str">
        <x:v>Standard pack</x:v>
      </x:c>
      <x:c r="I76" s="13" t="n">
        <x:v>100</x:v>
      </x:c>
      <x:c r="J76" s="14" t="n">
        <x:v>565.25</x:v>
      </x:c>
      <x:c r="K76" s="11" t="n">
        <x:f>J76/I76</x:f>
        <x:v>5.6525</x:v>
      </x:c>
      <x:c r="L76" s="13"/>
      <x:c r="M76" s="15" t="str">
        <x:f>IF(OR(L76="",L76=0),"",J76/(I76*L76/100))</x:f>
      </x:c>
      <x:c r="N76" s="15" t="str">
        <x:f>IF(M76="","",M76*3)</x:f>
      </x:c>
      <x:c r="O76" s="10"/>
      <x:c r="P76" s="10"/>
      <x:c r="Q76" s="10"/>
      <x:c r="R76" s="10"/>
      <x:c r="S76" s="3" t="str">
        <x:v>In stock</x:v>
      </x:c>
      <x:c r="T76" s="12" t="d">
        <x:v>2026-10-25T00:00:00.000Z</x:v>
      </x:c>
      <x:c r="U76" s="3" t="str">
        <x:v>cr-70</x:v>
      </x:c>
      <x:c r="V76" s="3" t="str">
        <x:v>Creatine compound concentration not verified; compound cost omitted.</x:v>
      </x:c>
      <x:c r="W76" s="3"/>
      <x:c r="X76" s="3" t="str">
        <x:v>https://www.fastandup.in/products/creatine-monohydrate-essentials?variant=41041410981963</x:v>
      </x:c>
      <x:c r="Y76" s="3" t="str">
        <x:v>https://www.fastandup.in/products/creatine-monohydrate-essentials?variant=41041410981963</x:v>
      </x:c>
      <x:c r="Z76" s="3" t="str">
        <x:v>Creatine compound concentration not verified; compound cost omitted.</x:v>
      </x:c>
      <x:c r="AA76" s="3" t="str"/>
    </x:row>
    <x:row r="77" ht="44" customHeight="1">
      <x:c r="A77" s="3" t="str">
        <x:v>Fast&amp;Up</x:v>
      </x:c>
      <x:c r="B77" s="3" t="str">
        <x:v>Creatine Monohydrate Essentials</x:v>
      </x:c>
      <x:c r="C77" s="3" t="str">
        <x:v>Monohydrate</x:v>
      </x:c>
      <x:c r="D77" s="3" t="str">
        <x:v>Ultra-micronized</x:v>
      </x:c>
      <x:c r="E77" s="3" t="str">
        <x:v>Not specified</x:v>
      </x:c>
      <x:c r="F77" s="3" t="str">
        <x:v>Not specified</x:v>
      </x:c>
      <x:c r="G77" s="3" t="str">
        <x:v>Unflavoured</x:v>
      </x:c>
      <x:c r="H77" s="3" t="str">
        <x:v>Standard pack</x:v>
      </x:c>
      <x:c r="I77" s="13" t="n">
        <x:v>250</x:v>
      </x:c>
      <x:c r="J77" s="14" t="n">
        <x:v>1027.95</x:v>
      </x:c>
      <x:c r="K77" s="11" t="n">
        <x:f>J77/I77</x:f>
        <x:v>4.111800000000001</x:v>
      </x:c>
      <x:c r="L77" s="13"/>
      <x:c r="M77" s="15" t="str">
        <x:f>IF(OR(L77="",L77=0),"",J77/(I77*L77/100))</x:f>
      </x:c>
      <x:c r="N77" s="15" t="str">
        <x:f>IF(M77="","",M77*3)</x:f>
      </x:c>
      <x:c r="O77" s="10"/>
      <x:c r="P77" s="10"/>
      <x:c r="Q77" s="10"/>
      <x:c r="R77" s="10"/>
      <x:c r="S77" s="3" t="str">
        <x:v>In stock</x:v>
      </x:c>
      <x:c r="T77" s="12" t="d">
        <x:v>2026-10-25T00:00:00.000Z</x:v>
      </x:c>
      <x:c r="U77" s="3" t="str">
        <x:v>cr-71</x:v>
      </x:c>
      <x:c r="V77" s="3" t="str">
        <x:v>Creatine compound concentration not verified; compound cost omitted.</x:v>
      </x:c>
      <x:c r="W77" s="3"/>
      <x:c r="X77" s="3" t="str">
        <x:v>https://www.fastandup.in/products/creatine-monohydrate-powder?variant=41040395436107</x:v>
      </x:c>
      <x:c r="Y77" s="3" t="str">
        <x:v>https://www.fastandup.in/products/creatine-monohydrate-powder?variant=41040395436107</x:v>
      </x:c>
      <x:c r="Z77" s="3" t="str">
        <x:v>Creatine compound concentration not verified; compound cost omitted.</x:v>
      </x:c>
      <x:c r="AA77" s="3" t="str"/>
    </x:row>
    <x:row r="78" ht="44" customHeight="1">
      <x:c r="A78" s="3" t="str">
        <x:v>Fuel One</x:v>
      </x:c>
      <x:c r="B78" s="3" t="str">
        <x:v>Creatine Monohydrate</x:v>
      </x:c>
      <x:c r="C78" s="3" t="str">
        <x:v>Monohydrate</x:v>
      </x:c>
      <x:c r="D78" s="3" t="str">
        <x:v>Not specified</x:v>
      </x:c>
      <x:c r="E78" s="3" t="str">
        <x:v>Not specified</x:v>
      </x:c>
      <x:c r="F78" s="3" t="str">
        <x:v>Not specified</x:v>
      </x:c>
      <x:c r="G78" s="3" t="str">
        <x:v>Unflavoured</x:v>
      </x:c>
      <x:c r="H78" s="3" t="str">
        <x:v>Standard pack</x:v>
      </x:c>
      <x:c r="I78" s="13" t="n">
        <x:v>100</x:v>
      </x:c>
      <x:c r="J78" s="14" t="n">
        <x:v>499</x:v>
      </x:c>
      <x:c r="K78" s="11" t="n">
        <x:f>J78/I78</x:f>
        <x:v>4.99</x:v>
      </x:c>
      <x:c r="L78" s="13"/>
      <x:c r="M78" s="15" t="str">
        <x:f>IF(OR(L78="",L78=0),"",J78/(I78*L78/100))</x:f>
      </x:c>
      <x:c r="N78" s="15" t="str">
        <x:f>IF(M78="","",M78*3)</x:f>
      </x:c>
      <x:c r="O78" s="10"/>
      <x:c r="P78" s="10"/>
      <x:c r="Q78" s="10"/>
      <x:c r="R78" s="10"/>
      <x:c r="S78" s="3" t="str">
        <x:v>In stock</x:v>
      </x:c>
      <x:c r="T78" s="12" t="d">
        <x:v>2026-10-25T00:00:00.000Z</x:v>
      </x:c>
      <x:c r="U78" s="3" t="str">
        <x:v>cr-72</x:v>
      </x:c>
      <x:c r="V78" s="3" t="str">
        <x:v>Creatine compound concentration not verified; compound cost omitted.</x:v>
      </x:c>
      <x:c r="W78" s="3"/>
      <x:c r="X78" s="3" t="str">
        <x:v>https://www.fuelone.in/sv/fuel-one-creatine-monohydrate/SP-123937</x:v>
      </x:c>
      <x:c r="Y78" s="3" t="str">
        <x:v>https://www.fuelone.in/sv/fuel-one-creatine-monohydrate/SP-123937</x:v>
      </x:c>
      <x:c r="Z78" s="3" t="str">
        <x:v>Creatine compound concentration not verified; compound cost omitted.</x:v>
      </x:c>
      <x:c r="AA78" s="3" t="str"/>
    </x:row>
    <x:row r="79" ht="44" customHeight="1">
      <x:c r="A79" s="3" t="str">
        <x:v>GNC</x:v>
      </x:c>
      <x:c r="B79" s="3" t="str">
        <x:v>Creatine Monohydrate</x:v>
      </x:c>
      <x:c r="C79" s="3" t="str">
        <x:v>Monohydrate</x:v>
      </x:c>
      <x:c r="D79" s="3" t="str">
        <x:v>Not specified</x:v>
      </x:c>
      <x:c r="E79" s="3" t="str">
        <x:v>Not specified</x:v>
      </x:c>
      <x:c r="F79" s="3" t="str">
        <x:v>Flavoured</x:v>
      </x:c>
      <x:c r="G79" s="3" t="str">
        <x:v>Blueberry</x:v>
      </x:c>
      <x:c r="H79" s="3" t="str">
        <x:v>Standard pack</x:v>
      </x:c>
      <x:c r="I79" s="13" t="n">
        <x:v>50</x:v>
      </x:c>
      <x:c r="J79" s="14" t="n">
        <x:v>199</x:v>
      </x:c>
      <x:c r="K79" s="11" t="n">
        <x:f>J79/I79</x:f>
        <x:v>3.98</x:v>
      </x:c>
      <x:c r="L79" s="13"/>
      <x:c r="M79" s="15" t="str">
        <x:f>IF(OR(L79="",L79=0),"",J79/(I79*L79/100))</x:f>
      </x:c>
      <x:c r="N79" s="15" t="str">
        <x:f>IF(M79="","",M79*3)</x:f>
      </x:c>
      <x:c r="O79" s="10"/>
      <x:c r="P79" s="10"/>
      <x:c r="Q79" s="10"/>
      <x:c r="R79" s="10"/>
      <x:c r="S79" s="3" t="str">
        <x:v>In stock</x:v>
      </x:c>
      <x:c r="T79" s="12" t="d">
        <x:v>2026-10-25T00:00:00.000Z</x:v>
      </x:c>
      <x:c r="U79" s="3" t="str">
        <x:v>cr-73</x:v>
      </x:c>
      <x:c r="V79" s="3" t="str">
        <x:v>Creatine compound concentration not verified; compound cost omitted. Canonical family page includes an unflavoured table; not applied to flavoured variants.</x:v>
      </x:c>
      <x:c r="W79" s="3"/>
      <x:c r="X79" s="3" t="str">
        <x:v>https://gnc.in/products/gnc-pro-performance-creatine-monohydrate-3000mg?variant=52320181289191</x:v>
      </x:c>
      <x:c r="Y79" s="3" t="str">
        <x:v>https://gnc.in/products/gnc-pro-performance-creatine-monohydrate-3000mg?variant=52320181289191</x:v>
      </x:c>
      <x:c r="Z79" s="3" t="str">
        <x:v>Creatine compound concentration not verified; compound cost omitted.</x:v>
      </x:c>
      <x:c r="AA79" s="3" t="str"/>
    </x:row>
    <x:row r="80" ht="44" customHeight="1">
      <x:c r="A80" s="3" t="str">
        <x:v>GNC</x:v>
      </x:c>
      <x:c r="B80" s="3" t="str">
        <x:v>Creatine Monohydrate</x:v>
      </x:c>
      <x:c r="C80" s="3" t="str">
        <x:v>Monohydrate</x:v>
      </x:c>
      <x:c r="D80" s="3" t="str">
        <x:v>Not specified</x:v>
      </x:c>
      <x:c r="E80" s="3" t="str">
        <x:v>Not specified</x:v>
      </x:c>
      <x:c r="F80" s="3" t="str">
        <x:v>Flavoured</x:v>
      </x:c>
      <x:c r="G80" s="3" t="str">
        <x:v>Blueberry</x:v>
      </x:c>
      <x:c r="H80" s="3" t="str">
        <x:v>Standard pack</x:v>
      </x:c>
      <x:c r="I80" s="13" t="n">
        <x:v>100</x:v>
      </x:c>
      <x:c r="J80" s="14" t="n">
        <x:v>349</x:v>
      </x:c>
      <x:c r="K80" s="11" t="n">
        <x:f>J80/I80</x:f>
        <x:v>3.49</x:v>
      </x:c>
      <x:c r="L80" s="13"/>
      <x:c r="M80" s="15" t="str">
        <x:f>IF(OR(L80="",L80=0),"",J80/(I80*L80/100))</x:f>
      </x:c>
      <x:c r="N80" s="15" t="str">
        <x:f>IF(M80="","",M80*3)</x:f>
      </x:c>
      <x:c r="O80" s="10"/>
      <x:c r="P80" s="10"/>
      <x:c r="Q80" s="10"/>
      <x:c r="R80" s="10"/>
      <x:c r="S80" s="3" t="str">
        <x:v>In stock</x:v>
      </x:c>
      <x:c r="T80" s="12" t="d">
        <x:v>2026-10-25T00:00:00.000Z</x:v>
      </x:c>
      <x:c r="U80" s="3" t="str">
        <x:v>cr-74</x:v>
      </x:c>
      <x:c r="V80" s="3" t="str">
        <x:v>Creatine compound concentration not verified; compound cost omitted. Canonical family page includes an unflavoured table; not applied to flavoured variants.</x:v>
      </x:c>
      <x:c r="W80" s="3"/>
      <x:c r="X80" s="3" t="str">
        <x:v>https://gnc.in/products/gnc-pro-performance-creatine-monohydrate-3000mg?variant=49645644808423</x:v>
      </x:c>
      <x:c r="Y80" s="3" t="str">
        <x:v>https://gnc.in/products/gnc-pro-performance-creatine-monohydrate-3000mg?variant=49645644808423</x:v>
      </x:c>
      <x:c r="Z80" s="3" t="str">
        <x:v>Creatine compound concentration not verified; compound cost omitted.</x:v>
      </x:c>
      <x:c r="AA80" s="3" t="str"/>
    </x:row>
    <x:row r="81" ht="44" customHeight="1">
      <x:c r="A81" s="3" t="str">
        <x:v>GNC</x:v>
      </x:c>
      <x:c r="B81" s="3" t="str">
        <x:v>Creatine Monohydrate</x:v>
      </x:c>
      <x:c r="C81" s="3" t="str">
        <x:v>Monohydrate</x:v>
      </x:c>
      <x:c r="D81" s="3" t="str">
        <x:v>Not specified</x:v>
      </x:c>
      <x:c r="E81" s="3" t="str">
        <x:v>Not specified</x:v>
      </x:c>
      <x:c r="F81" s="3" t="str">
        <x:v>Flavoured</x:v>
      </x:c>
      <x:c r="G81" s="3" t="str">
        <x:v>Blueberry</x:v>
      </x:c>
      <x:c r="H81" s="3" t="str">
        <x:v>Standard pack</x:v>
      </x:c>
      <x:c r="I81" s="13" t="n">
        <x:v>200</x:v>
      </x:c>
      <x:c r="J81" s="14" t="n">
        <x:v>599</x:v>
      </x:c>
      <x:c r="K81" s="11" t="n">
        <x:f>J81/I81</x:f>
        <x:v>2.995</x:v>
      </x:c>
      <x:c r="L81" s="13"/>
      <x:c r="M81" s="15" t="str">
        <x:f>IF(OR(L81="",L81=0),"",J81/(I81*L81/100))</x:f>
      </x:c>
      <x:c r="N81" s="15" t="str">
        <x:f>IF(M81="","",M81*3)</x:f>
      </x:c>
      <x:c r="O81" s="10"/>
      <x:c r="P81" s="10"/>
      <x:c r="Q81" s="10"/>
      <x:c r="R81" s="10"/>
      <x:c r="S81" s="3" t="str">
        <x:v>In stock</x:v>
      </x:c>
      <x:c r="T81" s="12" t="d">
        <x:v>2026-10-25T00:00:00.000Z</x:v>
      </x:c>
      <x:c r="U81" s="3" t="str">
        <x:v>cr-75</x:v>
      </x:c>
      <x:c r="V81" s="3" t="str">
        <x:v>Creatine compound concentration not verified; compound cost omitted. Canonical family page includes an unflavoured table; not applied to flavoured variants.</x:v>
      </x:c>
      <x:c r="W81" s="3"/>
      <x:c r="X81" s="3" t="str">
        <x:v>https://gnc.in/products/gnc-pro-performance-creatine-monohydrate-3000mg?variant=50582947922151</x:v>
      </x:c>
      <x:c r="Y81" s="3" t="str">
        <x:v>https://gnc.in/products/gnc-pro-performance-creatine-monohydrate-3000mg?variant=50582947922151</x:v>
      </x:c>
      <x:c r="Z81" s="3" t="str">
        <x:v>Creatine compound concentration not verified; compound cost omitted.</x:v>
      </x:c>
      <x:c r="AA81" s="3" t="str"/>
    </x:row>
    <x:row r="82" ht="44" customHeight="1">
      <x:c r="A82" s="3" t="str">
        <x:v>GNC</x:v>
      </x:c>
      <x:c r="B82" s="3" t="str">
        <x:v>Creatine Monohydrate</x:v>
      </x:c>
      <x:c r="C82" s="3" t="str">
        <x:v>Monohydrate</x:v>
      </x:c>
      <x:c r="D82" s="3" t="str">
        <x:v>Not specified</x:v>
      </x:c>
      <x:c r="E82" s="3" t="str">
        <x:v>Not specified</x:v>
      </x:c>
      <x:c r="F82" s="3" t="str">
        <x:v>Flavoured</x:v>
      </x:c>
      <x:c r="G82" s="3" t="str">
        <x:v>Blueberry</x:v>
      </x:c>
      <x:c r="H82" s="3" t="str">
        <x:v>Standard pack</x:v>
      </x:c>
      <x:c r="I82" s="13" t="n">
        <x:v>250</x:v>
      </x:c>
      <x:c r="J82" s="14" t="n">
        <x:v>649</x:v>
      </x:c>
      <x:c r="K82" s="11" t="n">
        <x:f>J82/I82</x:f>
        <x:v>2.596</x:v>
      </x:c>
      <x:c r="L82" s="13"/>
      <x:c r="M82" s="15" t="str">
        <x:f>IF(OR(L82="",L82=0),"",J82/(I82*L82/100))</x:f>
      </x:c>
      <x:c r="N82" s="15" t="str">
        <x:f>IF(M82="","",M82*3)</x:f>
      </x:c>
      <x:c r="O82" s="10"/>
      <x:c r="P82" s="10"/>
      <x:c r="Q82" s="10"/>
      <x:c r="R82" s="10"/>
      <x:c r="S82" s="3" t="str">
        <x:v>In stock</x:v>
      </x:c>
      <x:c r="T82" s="12" t="d">
        <x:v>2026-10-25T00:00:00.000Z</x:v>
      </x:c>
      <x:c r="U82" s="3" t="str">
        <x:v>cr-76</x:v>
      </x:c>
      <x:c r="V82" s="3" t="str">
        <x:v>Creatine compound concentration not verified; compound cost omitted. Canonical family page includes an unflavoured table; not applied to flavoured variants.</x:v>
      </x:c>
      <x:c r="W82" s="3"/>
      <x:c r="X82" s="3" t="str">
        <x:v>https://gnc.in/products/gnc-pro-performance-creatine-monohydrate-3000mg?variant=49247643468007</x:v>
      </x:c>
      <x:c r="Y82" s="3" t="str">
        <x:v>https://gnc.in/products/gnc-pro-performance-creatine-monohydrate-3000mg?variant=49247643468007</x:v>
      </x:c>
      <x:c r="Z82" s="3" t="str">
        <x:v>Creatine compound concentration not verified; compound cost omitted.</x:v>
      </x:c>
      <x:c r="AA82" s="3" t="str"/>
    </x:row>
    <x:row r="83" ht="44" customHeight="1">
      <x:c r="A83" s="3" t="str">
        <x:v>GNC</x:v>
      </x:c>
      <x:c r="B83" s="3" t="str">
        <x:v>Creatine Monohydrate</x:v>
      </x:c>
      <x:c r="C83" s="3" t="str">
        <x:v>Monohydrate</x:v>
      </x:c>
      <x:c r="D83" s="3" t="str">
        <x:v>Not specified</x:v>
      </x:c>
      <x:c r="E83" s="3" t="str">
        <x:v>Not specified</x:v>
      </x:c>
      <x:c r="F83" s="3" t="str">
        <x:v>Flavoured</x:v>
      </x:c>
      <x:c r="G83" s="3" t="str">
        <x:v>Blueberry</x:v>
      </x:c>
      <x:c r="H83" s="3" t="str">
        <x:v>Standard pack</x:v>
      </x:c>
      <x:c r="I83" s="13" t="n">
        <x:v>400</x:v>
      </x:c>
      <x:c r="J83" s="14" t="n">
        <x:v>1099</x:v>
      </x:c>
      <x:c r="K83" s="11" t="n">
        <x:f>J83/I83</x:f>
        <x:v>2.7475</x:v>
      </x:c>
      <x:c r="L83" s="13"/>
      <x:c r="M83" s="15" t="str">
        <x:f>IF(OR(L83="",L83=0),"",J83/(I83*L83/100))</x:f>
      </x:c>
      <x:c r="N83" s="15" t="str">
        <x:f>IF(M83="","",M83*3)</x:f>
      </x:c>
      <x:c r="O83" s="10"/>
      <x:c r="P83" s="10"/>
      <x:c r="Q83" s="10"/>
      <x:c r="R83" s="10"/>
      <x:c r="S83" s="3" t="str">
        <x:v>In stock</x:v>
      </x:c>
      <x:c r="T83" s="12" t="d">
        <x:v>2026-10-25T00:00:00.000Z</x:v>
      </x:c>
      <x:c r="U83" s="3" t="str">
        <x:v>cr-77</x:v>
      </x:c>
      <x:c r="V83" s="3" t="str">
        <x:v>Creatine compound concentration not verified; compound cost omitted. Canonical family page includes an unflavoured table; not applied to flavoured variants.</x:v>
      </x:c>
      <x:c r="W83" s="3"/>
      <x:c r="X83" s="3" t="str">
        <x:v>https://gnc.in/products/gnc-pro-performance-creatine-monohydrate-3000mg?variant=50212872257767</x:v>
      </x:c>
      <x:c r="Y83" s="3" t="str">
        <x:v>https://gnc.in/products/gnc-pro-performance-creatine-monohydrate-3000mg?variant=50212872257767</x:v>
      </x:c>
      <x:c r="Z83" s="3" t="str">
        <x:v>Creatine compound concentration not verified; compound cost omitted.</x:v>
      </x:c>
      <x:c r="AA83" s="3" t="str"/>
    </x:row>
    <x:row r="84" ht="44" customHeight="1">
      <x:c r="A84" s="3" t="str">
        <x:v>GNC</x:v>
      </x:c>
      <x:c r="B84" s="3" t="str">
        <x:v>Creatine Monohydrate</x:v>
      </x:c>
      <x:c r="C84" s="3" t="str">
        <x:v>Monohydrate</x:v>
      </x:c>
      <x:c r="D84" s="3" t="str">
        <x:v>Not specified</x:v>
      </x:c>
      <x:c r="E84" s="3" t="str">
        <x:v>Not specified</x:v>
      </x:c>
      <x:c r="F84" s="3" t="str">
        <x:v>Flavoured</x:v>
      </x:c>
      <x:c r="G84" s="3" t="str">
        <x:v>Cola</x:v>
      </x:c>
      <x:c r="H84" s="3" t="str">
        <x:v>Standard pack</x:v>
      </x:c>
      <x:c r="I84" s="13" t="n">
        <x:v>100</x:v>
      </x:c>
      <x:c r="J84" s="14" t="n">
        <x:v>349</x:v>
      </x:c>
      <x:c r="K84" s="11" t="n">
        <x:f>J84/I84</x:f>
        <x:v>3.49</x:v>
      </x:c>
      <x:c r="L84" s="13"/>
      <x:c r="M84" s="15" t="str">
        <x:f>IF(OR(L84="",L84=0),"",J84/(I84*L84/100))</x:f>
      </x:c>
      <x:c r="N84" s="15" t="str">
        <x:f>IF(M84="","",M84*3)</x:f>
      </x:c>
      <x:c r="O84" s="10"/>
      <x:c r="P84" s="10"/>
      <x:c r="Q84" s="10"/>
      <x:c r="R84" s="10"/>
      <x:c r="S84" s="3" t="str">
        <x:v>In stock</x:v>
      </x:c>
      <x:c r="T84" s="12" t="d">
        <x:v>2026-10-25T00:00:00.000Z</x:v>
      </x:c>
      <x:c r="U84" s="3" t="str">
        <x:v>cr-78</x:v>
      </x:c>
      <x:c r="V84" s="3" t="str">
        <x:v>Creatine compound concentration not verified; compound cost omitted. Canonical family page includes an unflavoured table; not applied to flavoured variants.</x:v>
      </x:c>
      <x:c r="W84" s="3"/>
      <x:c r="X84" s="3" t="str">
        <x:v>https://gnc.in/products/gnc-pro-performance-creatine-monohydrate-3000mg?variant=51287199449319</x:v>
      </x:c>
      <x:c r="Y84" s="3" t="str">
        <x:v>https://gnc.in/products/gnc-pro-performance-creatine-monohydrate-3000mg?variant=51287199449319</x:v>
      </x:c>
      <x:c r="Z84" s="3" t="str">
        <x:v>Creatine compound concentration not verified; compound cost omitted.</x:v>
      </x:c>
      <x:c r="AA84" s="3" t="str"/>
    </x:row>
    <x:row r="85" ht="44" customHeight="1">
      <x:c r="A85" s="3" t="str">
        <x:v>GNC</x:v>
      </x:c>
      <x:c r="B85" s="3" t="str">
        <x:v>Creatine Monohydrate</x:v>
      </x:c>
      <x:c r="C85" s="3" t="str">
        <x:v>Monohydrate</x:v>
      </x:c>
      <x:c r="D85" s="3" t="str">
        <x:v>Not specified</x:v>
      </x:c>
      <x:c r="E85" s="3" t="str">
        <x:v>Not specified</x:v>
      </x:c>
      <x:c r="F85" s="3" t="str">
        <x:v>Flavoured</x:v>
      </x:c>
      <x:c r="G85" s="3" t="str">
        <x:v>Cola</x:v>
      </x:c>
      <x:c r="H85" s="3" t="str">
        <x:v>Standard pack</x:v>
      </x:c>
      <x:c r="I85" s="13" t="n">
        <x:v>250</x:v>
      </x:c>
      <x:c r="J85" s="14" t="n">
        <x:v>649</x:v>
      </x:c>
      <x:c r="K85" s="11" t="n">
        <x:f>J85/I85</x:f>
        <x:v>2.596</x:v>
      </x:c>
      <x:c r="L85" s="13"/>
      <x:c r="M85" s="15" t="str">
        <x:f>IF(OR(L85="",L85=0),"",J85/(I85*L85/100))</x:f>
      </x:c>
      <x:c r="N85" s="15" t="str">
        <x:f>IF(M85="","",M85*3)</x:f>
      </x:c>
      <x:c r="O85" s="10"/>
      <x:c r="P85" s="10"/>
      <x:c r="Q85" s="10"/>
      <x:c r="R85" s="10"/>
      <x:c r="S85" s="3" t="str">
        <x:v>In stock</x:v>
      </x:c>
      <x:c r="T85" s="12" t="d">
        <x:v>2026-10-25T00:00:00.000Z</x:v>
      </x:c>
      <x:c r="U85" s="3" t="str">
        <x:v>cr-79</x:v>
      </x:c>
      <x:c r="V85" s="3" t="str">
        <x:v>Creatine compound concentration not verified; compound cost omitted. Canonical family page includes an unflavoured table; not applied to flavoured variants.</x:v>
      </x:c>
      <x:c r="W85" s="3"/>
      <x:c r="X85" s="3" t="str">
        <x:v>https://gnc.in/products/gnc-pro-performance-creatine-monohydrate-3000mg?variant=51287199416551</x:v>
      </x:c>
      <x:c r="Y85" s="3" t="str">
        <x:v>https://gnc.in/products/gnc-pro-performance-creatine-monohydrate-3000mg?variant=51287199416551</x:v>
      </x:c>
      <x:c r="Z85" s="3" t="str">
        <x:v>Creatine compound concentration not verified; compound cost omitted.</x:v>
      </x:c>
      <x:c r="AA85" s="3" t="str"/>
    </x:row>
    <x:row r="86" ht="44" customHeight="1">
      <x:c r="A86" s="3" t="str">
        <x:v>GNC</x:v>
      </x:c>
      <x:c r="B86" s="3" t="str">
        <x:v>Creatine Monohydrate</x:v>
      </x:c>
      <x:c r="C86" s="3" t="str">
        <x:v>Monohydrate</x:v>
      </x:c>
      <x:c r="D86" s="3" t="str">
        <x:v>Not specified</x:v>
      </x:c>
      <x:c r="E86" s="3" t="str">
        <x:v>Not specified</x:v>
      </x:c>
      <x:c r="F86" s="3" t="str">
        <x:v>Flavoured</x:v>
      </x:c>
      <x:c r="G86" s="3" t="str">
        <x:v>Cola</x:v>
      </x:c>
      <x:c r="H86" s="3" t="str">
        <x:v>Standard pack</x:v>
      </x:c>
      <x:c r="I86" s="13" t="n">
        <x:v>400</x:v>
      </x:c>
      <x:c r="J86" s="14" t="n">
        <x:v>1099</x:v>
      </x:c>
      <x:c r="K86" s="11" t="n">
        <x:f>J86/I86</x:f>
        <x:v>2.7475</x:v>
      </x:c>
      <x:c r="L86" s="13"/>
      <x:c r="M86" s="15" t="str">
        <x:f>IF(OR(L86="",L86=0),"",J86/(I86*L86/100))</x:f>
      </x:c>
      <x:c r="N86" s="15" t="str">
        <x:f>IF(M86="","",M86*3)</x:f>
      </x:c>
      <x:c r="O86" s="10"/>
      <x:c r="P86" s="10"/>
      <x:c r="Q86" s="10"/>
      <x:c r="R86" s="10"/>
      <x:c r="S86" s="3" t="str">
        <x:v>In stock</x:v>
      </x:c>
      <x:c r="T86" s="12" t="d">
        <x:v>2026-10-25T00:00:00.000Z</x:v>
      </x:c>
      <x:c r="U86" s="3" t="str">
        <x:v>cr-80</x:v>
      </x:c>
      <x:c r="V86" s="3" t="str">
        <x:v>Creatine compound concentration not verified; compound cost omitted. Canonical family page includes an unflavoured table; not applied to flavoured variants.</x:v>
      </x:c>
      <x:c r="W86" s="3"/>
      <x:c r="X86" s="3" t="str">
        <x:v>https://gnc.in/products/gnc-pro-performance-creatine-monohydrate-3000mg?variant=51287199482087</x:v>
      </x:c>
      <x:c r="Y86" s="3" t="str">
        <x:v>https://gnc.in/products/gnc-pro-performance-creatine-monohydrate-3000mg?variant=51287199482087</x:v>
      </x:c>
      <x:c r="Z86" s="3" t="str">
        <x:v>Creatine compound concentration not verified; compound cost omitted.</x:v>
      </x:c>
      <x:c r="AA86" s="3" t="str"/>
    </x:row>
    <x:row r="87" ht="44" customHeight="1">
      <x:c r="A87" s="3" t="str">
        <x:v>GNC</x:v>
      </x:c>
      <x:c r="B87" s="3" t="str">
        <x:v>Creatine Monohydrate</x:v>
      </x:c>
      <x:c r="C87" s="3" t="str">
        <x:v>Monohydrate</x:v>
      </x:c>
      <x:c r="D87" s="3" t="str">
        <x:v>Not specified</x:v>
      </x:c>
      <x:c r="E87" s="3" t="str">
        <x:v>Not specified</x:v>
      </x:c>
      <x:c r="F87" s="3" t="str">
        <x:v>Flavoured</x:v>
      </x:c>
      <x:c r="G87" s="3" t="str">
        <x:v>Cranberry</x:v>
      </x:c>
      <x:c r="H87" s="3" t="str">
        <x:v>Standard pack</x:v>
      </x:c>
      <x:c r="I87" s="13" t="n">
        <x:v>50</x:v>
      </x:c>
      <x:c r="J87" s="14" t="n">
        <x:v>199</x:v>
      </x:c>
      <x:c r="K87" s="11" t="n">
        <x:f>J87/I87</x:f>
        <x:v>3.98</x:v>
      </x:c>
      <x:c r="L87" s="13"/>
      <x:c r="M87" s="15" t="str">
        <x:f>IF(OR(L87="",L87=0),"",J87/(I87*L87/100))</x:f>
      </x:c>
      <x:c r="N87" s="15" t="str">
        <x:f>IF(M87="","",M87*3)</x:f>
      </x:c>
      <x:c r="O87" s="10"/>
      <x:c r="P87" s="10"/>
      <x:c r="Q87" s="10"/>
      <x:c r="R87" s="10"/>
      <x:c r="S87" s="3" t="str">
        <x:v>In stock</x:v>
      </x:c>
      <x:c r="T87" s="12" t="d">
        <x:v>2026-10-25T00:00:00.000Z</x:v>
      </x:c>
      <x:c r="U87" s="3" t="str">
        <x:v>cr-81</x:v>
      </x:c>
      <x:c r="V87" s="3" t="str">
        <x:v>Creatine compound concentration not verified; compound cost omitted. Canonical family page includes an unflavoured table; not applied to flavoured variants.</x:v>
      </x:c>
      <x:c r="W87" s="3"/>
      <x:c r="X87" s="3" t="str">
        <x:v>https://gnc.in/products/gnc-pro-performance-creatine-monohydrate-3000mg?variant=52320181321959</x:v>
      </x:c>
      <x:c r="Y87" s="3" t="str">
        <x:v>https://gnc.in/products/gnc-pro-performance-creatine-monohydrate-3000mg?variant=52320181321959</x:v>
      </x:c>
      <x:c r="Z87" s="3" t="str">
        <x:v>Creatine compound concentration not verified; compound cost omitted.</x:v>
      </x:c>
      <x:c r="AA87" s="3" t="str"/>
    </x:row>
    <x:row r="88" ht="44" customHeight="1">
      <x:c r="A88" s="3" t="str">
        <x:v>GNC</x:v>
      </x:c>
      <x:c r="B88" s="3" t="str">
        <x:v>Creatine Monohydrate</x:v>
      </x:c>
      <x:c r="C88" s="3" t="str">
        <x:v>Monohydrate</x:v>
      </x:c>
      <x:c r="D88" s="3" t="str">
        <x:v>Not specified</x:v>
      </x:c>
      <x:c r="E88" s="3" t="str">
        <x:v>Not specified</x:v>
      </x:c>
      <x:c r="F88" s="3" t="str">
        <x:v>Flavoured</x:v>
      </x:c>
      <x:c r="G88" s="3" t="str">
        <x:v>Cranberry</x:v>
      </x:c>
      <x:c r="H88" s="3" t="str">
        <x:v>Standard pack</x:v>
      </x:c>
      <x:c r="I88" s="13" t="n">
        <x:v>100</x:v>
      </x:c>
      <x:c r="J88" s="14" t="n">
        <x:v>349</x:v>
      </x:c>
      <x:c r="K88" s="11" t="n">
        <x:f>J88/I88</x:f>
        <x:v>3.49</x:v>
      </x:c>
      <x:c r="L88" s="13"/>
      <x:c r="M88" s="15" t="str">
        <x:f>IF(OR(L88="",L88=0),"",J88/(I88*L88/100))</x:f>
      </x:c>
      <x:c r="N88" s="15" t="str">
        <x:f>IF(M88="","",M88*3)</x:f>
      </x:c>
      <x:c r="O88" s="10"/>
      <x:c r="P88" s="10"/>
      <x:c r="Q88" s="10"/>
      <x:c r="R88" s="10"/>
      <x:c r="S88" s="3" t="str">
        <x:v>In stock</x:v>
      </x:c>
      <x:c r="T88" s="12" t="d">
        <x:v>2026-10-25T00:00:00.000Z</x:v>
      </x:c>
      <x:c r="U88" s="3" t="str">
        <x:v>cr-82</x:v>
      </x:c>
      <x:c r="V88" s="3" t="str">
        <x:v>Creatine compound concentration not verified; compound cost omitted. Canonical family page includes an unflavoured table; not applied to flavoured variants.</x:v>
      </x:c>
      <x:c r="W88" s="3"/>
      <x:c r="X88" s="3" t="str">
        <x:v>https://gnc.in/products/gnc-pro-performance-creatine-monohydrate-3000mg?variant=49689113657575</x:v>
      </x:c>
      <x:c r="Y88" s="3" t="str">
        <x:v>https://gnc.in/products/gnc-pro-performance-creatine-monohydrate-3000mg?variant=49689113657575</x:v>
      </x:c>
      <x:c r="Z88" s="3" t="str">
        <x:v>Creatine compound concentration not verified; compound cost omitted.</x:v>
      </x:c>
      <x:c r="AA88" s="3" t="str"/>
    </x:row>
    <x:row r="89" ht="44" customHeight="1">
      <x:c r="A89" s="3" t="str">
        <x:v>GNC</x:v>
      </x:c>
      <x:c r="B89" s="3" t="str">
        <x:v>Creatine Monohydrate</x:v>
      </x:c>
      <x:c r="C89" s="3" t="str">
        <x:v>Monohydrate</x:v>
      </x:c>
      <x:c r="D89" s="3" t="str">
        <x:v>Not specified</x:v>
      </x:c>
      <x:c r="E89" s="3" t="str">
        <x:v>Not specified</x:v>
      </x:c>
      <x:c r="F89" s="3" t="str">
        <x:v>Flavoured</x:v>
      </x:c>
      <x:c r="G89" s="3" t="str">
        <x:v>Cranberry</x:v>
      </x:c>
      <x:c r="H89" s="3" t="str">
        <x:v>Standard pack</x:v>
      </x:c>
      <x:c r="I89" s="13" t="n">
        <x:v>200</x:v>
      </x:c>
      <x:c r="J89" s="14" t="n">
        <x:v>599</x:v>
      </x:c>
      <x:c r="K89" s="11" t="n">
        <x:f>J89/I89</x:f>
        <x:v>2.995</x:v>
      </x:c>
      <x:c r="L89" s="13"/>
      <x:c r="M89" s="15" t="str">
        <x:f>IF(OR(L89="",L89=0),"",J89/(I89*L89/100))</x:f>
      </x:c>
      <x:c r="N89" s="15" t="str">
        <x:f>IF(M89="","",M89*3)</x:f>
      </x:c>
      <x:c r="O89" s="10"/>
      <x:c r="P89" s="10"/>
      <x:c r="Q89" s="10"/>
      <x:c r="R89" s="10"/>
      <x:c r="S89" s="3" t="str">
        <x:v>In stock</x:v>
      </x:c>
      <x:c r="T89" s="12" t="d">
        <x:v>2026-10-25T00:00:00.000Z</x:v>
      </x:c>
      <x:c r="U89" s="3" t="str">
        <x:v>cr-83</x:v>
      </x:c>
      <x:c r="V89" s="3" t="str">
        <x:v>Creatine compound concentration not verified; compound cost omitted. Canonical family page includes an unflavoured table; not applied to flavoured variants.</x:v>
      </x:c>
      <x:c r="W89" s="3"/>
      <x:c r="X89" s="3" t="str">
        <x:v>https://gnc.in/products/gnc-pro-performance-creatine-monohydrate-3000mg?variant=50582947987687</x:v>
      </x:c>
      <x:c r="Y89" s="3" t="str">
        <x:v>https://gnc.in/products/gnc-pro-performance-creatine-monohydrate-3000mg?variant=50582947987687</x:v>
      </x:c>
      <x:c r="Z89" s="3" t="str">
        <x:v>Creatine compound concentration not verified; compound cost omitted.</x:v>
      </x:c>
      <x:c r="AA89" s="3" t="str"/>
    </x:row>
    <x:row r="90" ht="44" customHeight="1">
      <x:c r="A90" s="3" t="str">
        <x:v>GNC</x:v>
      </x:c>
      <x:c r="B90" s="3" t="str">
        <x:v>Creatine Monohydrate</x:v>
      </x:c>
      <x:c r="C90" s="3" t="str">
        <x:v>Monohydrate</x:v>
      </x:c>
      <x:c r="D90" s="3" t="str">
        <x:v>Not specified</x:v>
      </x:c>
      <x:c r="E90" s="3" t="str">
        <x:v>Not specified</x:v>
      </x:c>
      <x:c r="F90" s="3" t="str">
        <x:v>Flavoured</x:v>
      </x:c>
      <x:c r="G90" s="3" t="str">
        <x:v>Cranberry</x:v>
      </x:c>
      <x:c r="H90" s="3" t="str">
        <x:v>Standard pack</x:v>
      </x:c>
      <x:c r="I90" s="13" t="n">
        <x:v>250</x:v>
      </x:c>
      <x:c r="J90" s="14" t="n">
        <x:v>649</x:v>
      </x:c>
      <x:c r="K90" s="11" t="n">
        <x:f>J90/I90</x:f>
        <x:v>2.596</x:v>
      </x:c>
      <x:c r="L90" s="13"/>
      <x:c r="M90" s="15" t="str">
        <x:f>IF(OR(L90="",L90=0),"",J90/(I90*L90/100))</x:f>
      </x:c>
      <x:c r="N90" s="15" t="str">
        <x:f>IF(M90="","",M90*3)</x:f>
      </x:c>
      <x:c r="O90" s="10"/>
      <x:c r="P90" s="10"/>
      <x:c r="Q90" s="10"/>
      <x:c r="R90" s="10"/>
      <x:c r="S90" s="3" t="str">
        <x:v>In stock</x:v>
      </x:c>
      <x:c r="T90" s="12" t="d">
        <x:v>2026-10-25T00:00:00.000Z</x:v>
      </x:c>
      <x:c r="U90" s="3" t="str">
        <x:v>cr-84</x:v>
      </x:c>
      <x:c r="V90" s="3" t="str">
        <x:v>Creatine compound concentration not verified; compound cost omitted. Canonical family page includes an unflavoured table; not applied to flavoured variants.</x:v>
      </x:c>
      <x:c r="W90" s="3"/>
      <x:c r="X90" s="3" t="str">
        <x:v>https://gnc.in/products/gnc-pro-performance-creatine-monohydrate-3000mg?variant=49247643500775</x:v>
      </x:c>
      <x:c r="Y90" s="3" t="str">
        <x:v>https://gnc.in/products/gnc-pro-performance-creatine-monohydrate-3000mg?variant=49247643500775</x:v>
      </x:c>
      <x:c r="Z90" s="3" t="str">
        <x:v>Creatine compound concentration not verified; compound cost omitted.</x:v>
      </x:c>
      <x:c r="AA90" s="3" t="str"/>
    </x:row>
    <x:row r="91" ht="44" customHeight="1">
      <x:c r="A91" s="3" t="str">
        <x:v>GNC</x:v>
      </x:c>
      <x:c r="B91" s="3" t="str">
        <x:v>Creatine Monohydrate</x:v>
      </x:c>
      <x:c r="C91" s="3" t="str">
        <x:v>Monohydrate</x:v>
      </x:c>
      <x:c r="D91" s="3" t="str">
        <x:v>Not specified</x:v>
      </x:c>
      <x:c r="E91" s="3" t="str">
        <x:v>Not specified</x:v>
      </x:c>
      <x:c r="F91" s="3" t="str">
        <x:v>Flavoured</x:v>
      </x:c>
      <x:c r="G91" s="3" t="str">
        <x:v>Cranberry</x:v>
      </x:c>
      <x:c r="H91" s="3" t="str">
        <x:v>Standard pack</x:v>
      </x:c>
      <x:c r="I91" s="13" t="n">
        <x:v>400</x:v>
      </x:c>
      <x:c r="J91" s="14" t="n">
        <x:v>1099</x:v>
      </x:c>
      <x:c r="K91" s="11" t="n">
        <x:f>J91/I91</x:f>
        <x:v>2.7475</x:v>
      </x:c>
      <x:c r="L91" s="13"/>
      <x:c r="M91" s="15" t="str">
        <x:f>IF(OR(L91="",L91=0),"",J91/(I91*L91/100))</x:f>
      </x:c>
      <x:c r="N91" s="15" t="str">
        <x:f>IF(M91="","",M91*3)</x:f>
      </x:c>
      <x:c r="O91" s="10"/>
      <x:c r="P91" s="10"/>
      <x:c r="Q91" s="10"/>
      <x:c r="R91" s="10"/>
      <x:c r="S91" s="3" t="str">
        <x:v>In stock</x:v>
      </x:c>
      <x:c r="T91" s="12" t="d">
        <x:v>2026-10-25T00:00:00.000Z</x:v>
      </x:c>
      <x:c r="U91" s="3" t="str">
        <x:v>cr-85</x:v>
      </x:c>
      <x:c r="V91" s="3" t="str">
        <x:v>Creatine compound concentration not verified; compound cost omitted. Canonical family page includes an unflavoured table; not applied to flavoured variants.</x:v>
      </x:c>
      <x:c r="W91" s="3"/>
      <x:c r="X91" s="3" t="str">
        <x:v>https://gnc.in/products/gnc-pro-performance-creatine-monohydrate-3000mg?variant=50212874879207</x:v>
      </x:c>
      <x:c r="Y91" s="3" t="str">
        <x:v>https://gnc.in/products/gnc-pro-performance-creatine-monohydrate-3000mg?variant=50212874879207</x:v>
      </x:c>
      <x:c r="Z91" s="3" t="str">
        <x:v>Creatine compound concentration not verified; compound cost omitted.</x:v>
      </x:c>
      <x:c r="AA91" s="3" t="str"/>
    </x:row>
    <x:row r="92" ht="44" customHeight="1">
      <x:c r="A92" s="3" t="str">
        <x:v>GNC</x:v>
      </x:c>
      <x:c r="B92" s="3" t="str">
        <x:v>Creatine Monohydrate</x:v>
      </x:c>
      <x:c r="C92" s="3" t="str">
        <x:v>Monohydrate</x:v>
      </x:c>
      <x:c r="D92" s="3" t="str">
        <x:v>Not specified</x:v>
      </x:c>
      <x:c r="E92" s="3" t="str">
        <x:v>Not specified</x:v>
      </x:c>
      <x:c r="F92" s="3" t="str">
        <x:v>Flavoured</x:v>
      </x:c>
      <x:c r="G92" s="3" t="str">
        <x:v>Lemon</x:v>
      </x:c>
      <x:c r="H92" s="3" t="str">
        <x:v>Standard pack</x:v>
      </x:c>
      <x:c r="I92" s="13" t="n">
        <x:v>100</x:v>
      </x:c>
      <x:c r="J92" s="14" t="n">
        <x:v>349</x:v>
      </x:c>
      <x:c r="K92" s="11" t="n">
        <x:f>J92/I92</x:f>
        <x:v>3.49</x:v>
      </x:c>
      <x:c r="L92" s="13"/>
      <x:c r="M92" s="15" t="str">
        <x:f>IF(OR(L92="",L92=0),"",J92/(I92*L92/100))</x:f>
      </x:c>
      <x:c r="N92" s="15" t="str">
        <x:f>IF(M92="","",M92*3)</x:f>
      </x:c>
      <x:c r="O92" s="10"/>
      <x:c r="P92" s="10"/>
      <x:c r="Q92" s="10"/>
      <x:c r="R92" s="10"/>
      <x:c r="S92" s="3" t="str">
        <x:v>In stock</x:v>
      </x:c>
      <x:c r="T92" s="12" t="d">
        <x:v>2026-10-25T00:00:00.000Z</x:v>
      </x:c>
      <x:c r="U92" s="3" t="str">
        <x:v>cr-86</x:v>
      </x:c>
      <x:c r="V92" s="3" t="str">
        <x:v>Creatine compound concentration not verified; compound cost omitted. Canonical family page includes an unflavoured table; not applied to flavoured variants.</x:v>
      </x:c>
      <x:c r="W92" s="3"/>
      <x:c r="X92" s="3" t="str">
        <x:v>https://gnc.in/products/gnc-pro-performance-creatine-monohydrate-3000mg?variant=50973827432679</x:v>
      </x:c>
      <x:c r="Y92" s="3" t="str">
        <x:v>https://gnc.in/products/gnc-pro-performance-creatine-monohydrate-3000mg?variant=50973827432679</x:v>
      </x:c>
      <x:c r="Z92" s="3" t="str">
        <x:v>Creatine compound concentration not verified; compound cost omitted.</x:v>
      </x:c>
      <x:c r="AA92" s="3" t="str"/>
    </x:row>
    <x:row r="93" ht="44" customHeight="1">
      <x:c r="A93" s="3" t="str">
        <x:v>GNC</x:v>
      </x:c>
      <x:c r="B93" s="3" t="str">
        <x:v>Creatine Monohydrate</x:v>
      </x:c>
      <x:c r="C93" s="3" t="str">
        <x:v>Monohydrate</x:v>
      </x:c>
      <x:c r="D93" s="3" t="str">
        <x:v>Not specified</x:v>
      </x:c>
      <x:c r="E93" s="3" t="str">
        <x:v>Not specified</x:v>
      </x:c>
      <x:c r="F93" s="3" t="str">
        <x:v>Flavoured</x:v>
      </x:c>
      <x:c r="G93" s="3" t="str">
        <x:v>Lemon</x:v>
      </x:c>
      <x:c r="H93" s="3" t="str">
        <x:v>Standard pack</x:v>
      </x:c>
      <x:c r="I93" s="13" t="n">
        <x:v>250</x:v>
      </x:c>
      <x:c r="J93" s="14" t="n">
        <x:v>649</x:v>
      </x:c>
      <x:c r="K93" s="11" t="n">
        <x:f>J93/I93</x:f>
        <x:v>2.596</x:v>
      </x:c>
      <x:c r="L93" s="13"/>
      <x:c r="M93" s="15" t="str">
        <x:f>IF(OR(L93="",L93=0),"",J93/(I93*L93/100))</x:f>
      </x:c>
      <x:c r="N93" s="15" t="str">
        <x:f>IF(M93="","",M93*3)</x:f>
      </x:c>
      <x:c r="O93" s="10"/>
      <x:c r="P93" s="10"/>
      <x:c r="Q93" s="10"/>
      <x:c r="R93" s="10"/>
      <x:c r="S93" s="3" t="str">
        <x:v>In stock</x:v>
      </x:c>
      <x:c r="T93" s="12" t="d">
        <x:v>2026-10-25T00:00:00.000Z</x:v>
      </x:c>
      <x:c r="U93" s="3" t="str">
        <x:v>cr-87</x:v>
      </x:c>
      <x:c r="V93" s="3" t="str">
        <x:v>Creatine compound concentration not verified; compound cost omitted. Canonical family page includes an unflavoured table; not applied to flavoured variants.</x:v>
      </x:c>
      <x:c r="W93" s="3"/>
      <x:c r="X93" s="3" t="str">
        <x:v>https://gnc.in/products/gnc-pro-performance-creatine-monohydrate-3000mg?variant=50973827399911</x:v>
      </x:c>
      <x:c r="Y93" s="3" t="str">
        <x:v>https://gnc.in/products/gnc-pro-performance-creatine-monohydrate-3000mg?variant=50973827399911</x:v>
      </x:c>
      <x:c r="Z93" s="3" t="str">
        <x:v>Creatine compound concentration not verified; compound cost omitted.</x:v>
      </x:c>
      <x:c r="AA93" s="3" t="str"/>
    </x:row>
    <x:row r="94" ht="44" customHeight="1">
      <x:c r="A94" s="3" t="str">
        <x:v>GNC</x:v>
      </x:c>
      <x:c r="B94" s="3" t="str">
        <x:v>Creatine Monohydrate</x:v>
      </x:c>
      <x:c r="C94" s="3" t="str">
        <x:v>Monohydrate</x:v>
      </x:c>
      <x:c r="D94" s="3" t="str">
        <x:v>Not specified</x:v>
      </x:c>
      <x:c r="E94" s="3" t="str">
        <x:v>Not specified</x:v>
      </x:c>
      <x:c r="F94" s="3" t="str">
        <x:v>Flavoured</x:v>
      </x:c>
      <x:c r="G94" s="3" t="str">
        <x:v>Lemon</x:v>
      </x:c>
      <x:c r="H94" s="3" t="str">
        <x:v>Standard pack</x:v>
      </x:c>
      <x:c r="I94" s="13" t="n">
        <x:v>400</x:v>
      </x:c>
      <x:c r="J94" s="14" t="n">
        <x:v>1099</x:v>
      </x:c>
      <x:c r="K94" s="11" t="n">
        <x:f>J94/I94</x:f>
        <x:v>2.7475</x:v>
      </x:c>
      <x:c r="L94" s="13"/>
      <x:c r="M94" s="15" t="str">
        <x:f>IF(OR(L94="",L94=0),"",J94/(I94*L94/100))</x:f>
      </x:c>
      <x:c r="N94" s="15" t="str">
        <x:f>IF(M94="","",M94*3)</x:f>
      </x:c>
      <x:c r="O94" s="10"/>
      <x:c r="P94" s="10"/>
      <x:c r="Q94" s="10"/>
      <x:c r="R94" s="10"/>
      <x:c r="S94" s="3" t="str">
        <x:v>In stock</x:v>
      </x:c>
      <x:c r="T94" s="12" t="d">
        <x:v>2026-10-25T00:00:00.000Z</x:v>
      </x:c>
      <x:c r="U94" s="3" t="str">
        <x:v>cr-88</x:v>
      </x:c>
      <x:c r="V94" s="3" t="str">
        <x:v>Creatine compound concentration not verified; compound cost omitted. Canonical family page includes an unflavoured table; not applied to flavoured variants.</x:v>
      </x:c>
      <x:c r="W94" s="3"/>
      <x:c r="X94" s="3" t="str">
        <x:v>https://gnc.in/products/gnc-pro-performance-creatine-monohydrate-3000mg?variant=50973827465447</x:v>
      </x:c>
      <x:c r="Y94" s="3" t="str">
        <x:v>https://gnc.in/products/gnc-pro-performance-creatine-monohydrate-3000mg?variant=50973827465447</x:v>
      </x:c>
      <x:c r="Z94" s="3" t="str">
        <x:v>Creatine compound concentration not verified; compound cost omitted.</x:v>
      </x:c>
      <x:c r="AA94" s="3" t="str"/>
    </x:row>
    <x:row r="95" ht="44" customHeight="1">
      <x:c r="A95" s="3" t="str">
        <x:v>GNC</x:v>
      </x:c>
      <x:c r="B95" s="3" t="str">
        <x:v>Creatine Monohydrate</x:v>
      </x:c>
      <x:c r="C95" s="3" t="str">
        <x:v>Monohydrate</x:v>
      </x:c>
      <x:c r="D95" s="3" t="str">
        <x:v>Not specified</x:v>
      </x:c>
      <x:c r="E95" s="3" t="str">
        <x:v>Not specified</x:v>
      </x:c>
      <x:c r="F95" s="3" t="str">
        <x:v>Flavoured</x:v>
      </x:c>
      <x:c r="G95" s="3" t="str">
        <x:v>Orange</x:v>
      </x:c>
      <x:c r="H95" s="3" t="str">
        <x:v>Standard pack</x:v>
      </x:c>
      <x:c r="I95" s="13" t="n">
        <x:v>50</x:v>
      </x:c>
      <x:c r="J95" s="14" t="n">
        <x:v>199</x:v>
      </x:c>
      <x:c r="K95" s="11" t="n">
        <x:f>J95/I95</x:f>
        <x:v>3.98</x:v>
      </x:c>
      <x:c r="L95" s="13"/>
      <x:c r="M95" s="15" t="str">
        <x:f>IF(OR(L95="",L95=0),"",J95/(I95*L95/100))</x:f>
      </x:c>
      <x:c r="N95" s="15" t="str">
        <x:f>IF(M95="","",M95*3)</x:f>
      </x:c>
      <x:c r="O95" s="10"/>
      <x:c r="P95" s="10"/>
      <x:c r="Q95" s="10"/>
      <x:c r="R95" s="10"/>
      <x:c r="S95" s="3" t="str">
        <x:v>In stock</x:v>
      </x:c>
      <x:c r="T95" s="12" t="d">
        <x:v>2026-10-25T00:00:00.000Z</x:v>
      </x:c>
      <x:c r="U95" s="3" t="str">
        <x:v>cr-89</x:v>
      </x:c>
      <x:c r="V95" s="3" t="str">
        <x:v>Creatine compound concentration not verified; compound cost omitted. Canonical family page includes an unflavoured table; not applied to flavoured variants.</x:v>
      </x:c>
      <x:c r="W95" s="3"/>
      <x:c r="X95" s="3" t="str">
        <x:v>https://gnc.in/products/gnc-pro-performance-creatine-monohydrate-3000mg?variant=52320181256423</x:v>
      </x:c>
      <x:c r="Y95" s="3" t="str">
        <x:v>https://gnc.in/products/gnc-pro-performance-creatine-monohydrate-3000mg?variant=52320181256423</x:v>
      </x:c>
      <x:c r="Z95" s="3" t="str">
        <x:v>Creatine compound concentration not verified; compound cost omitted.</x:v>
      </x:c>
      <x:c r="AA95" s="3" t="str"/>
    </x:row>
    <x:row r="96" ht="44" customHeight="1">
      <x:c r="A96" s="3" t="str">
        <x:v>GNC</x:v>
      </x:c>
      <x:c r="B96" s="3" t="str">
        <x:v>Creatine Monohydrate</x:v>
      </x:c>
      <x:c r="C96" s="3" t="str">
        <x:v>Monohydrate</x:v>
      </x:c>
      <x:c r="D96" s="3" t="str">
        <x:v>Not specified</x:v>
      </x:c>
      <x:c r="E96" s="3" t="str">
        <x:v>Not specified</x:v>
      </x:c>
      <x:c r="F96" s="3" t="str">
        <x:v>Flavoured</x:v>
      </x:c>
      <x:c r="G96" s="3" t="str">
        <x:v>Orange</x:v>
      </x:c>
      <x:c r="H96" s="3" t="str">
        <x:v>Standard pack</x:v>
      </x:c>
      <x:c r="I96" s="13" t="n">
        <x:v>100</x:v>
      </x:c>
      <x:c r="J96" s="14" t="n">
        <x:v>349</x:v>
      </x:c>
      <x:c r="K96" s="11" t="n">
        <x:f>J96/I96</x:f>
        <x:v>3.49</x:v>
      </x:c>
      <x:c r="L96" s="13"/>
      <x:c r="M96" s="15" t="str">
        <x:f>IF(OR(L96="",L96=0),"",J96/(I96*L96/100))</x:f>
      </x:c>
      <x:c r="N96" s="15" t="str">
        <x:f>IF(M96="","",M96*3)</x:f>
      </x:c>
      <x:c r="O96" s="10"/>
      <x:c r="P96" s="10"/>
      <x:c r="Q96" s="10"/>
      <x:c r="R96" s="10"/>
      <x:c r="S96" s="3" t="str">
        <x:v>In stock</x:v>
      </x:c>
      <x:c r="T96" s="12" t="d">
        <x:v>2026-10-25T00:00:00.000Z</x:v>
      </x:c>
      <x:c r="U96" s="3" t="str">
        <x:v>cr-90</x:v>
      </x:c>
      <x:c r="V96" s="3" t="str">
        <x:v>Creatine compound concentration not verified; compound cost omitted. Canonical family page includes an unflavoured table; not applied to flavoured variants.</x:v>
      </x:c>
      <x:c r="W96" s="3"/>
      <x:c r="X96" s="3" t="str">
        <x:v>https://gnc.in/products/gnc-pro-performance-creatine-monohydrate-3000mg?variant=50180990140647</x:v>
      </x:c>
      <x:c r="Y96" s="3" t="str">
        <x:v>https://gnc.in/products/gnc-pro-performance-creatine-monohydrate-3000mg?variant=50180990140647</x:v>
      </x:c>
      <x:c r="Z96" s="3" t="str">
        <x:v>Creatine compound concentration not verified; compound cost omitted.</x:v>
      </x:c>
      <x:c r="AA96" s="3" t="str"/>
    </x:row>
    <x:row r="97" ht="44" customHeight="1">
      <x:c r="A97" s="3" t="str">
        <x:v>GNC</x:v>
      </x:c>
      <x:c r="B97" s="3" t="str">
        <x:v>Creatine Monohydrate</x:v>
      </x:c>
      <x:c r="C97" s="3" t="str">
        <x:v>Monohydrate</x:v>
      </x:c>
      <x:c r="D97" s="3" t="str">
        <x:v>Not specified</x:v>
      </x:c>
      <x:c r="E97" s="3" t="str">
        <x:v>Not specified</x:v>
      </x:c>
      <x:c r="F97" s="3" t="str">
        <x:v>Flavoured</x:v>
      </x:c>
      <x:c r="G97" s="3" t="str">
        <x:v>Orange</x:v>
      </x:c>
      <x:c r="H97" s="3" t="str">
        <x:v>Standard pack</x:v>
      </x:c>
      <x:c r="I97" s="13" t="n">
        <x:v>200</x:v>
      </x:c>
      <x:c r="J97" s="14" t="n">
        <x:v>599</x:v>
      </x:c>
      <x:c r="K97" s="11" t="n">
        <x:f>J97/I97</x:f>
        <x:v>2.995</x:v>
      </x:c>
      <x:c r="L97" s="13"/>
      <x:c r="M97" s="15" t="str">
        <x:f>IF(OR(L97="",L97=0),"",J97/(I97*L97/100))</x:f>
      </x:c>
      <x:c r="N97" s="15" t="str">
        <x:f>IF(M97="","",M97*3)</x:f>
      </x:c>
      <x:c r="O97" s="10"/>
      <x:c r="P97" s="10"/>
      <x:c r="Q97" s="10"/>
      <x:c r="R97" s="10"/>
      <x:c r="S97" s="3" t="str">
        <x:v>In stock</x:v>
      </x:c>
      <x:c r="T97" s="12" t="d">
        <x:v>2026-10-25T00:00:00.000Z</x:v>
      </x:c>
      <x:c r="U97" s="3" t="str">
        <x:v>cr-91</x:v>
      </x:c>
      <x:c r="V97" s="3" t="str">
        <x:v>Creatine compound concentration not verified; compound cost omitted. Canonical family page includes an unflavoured table; not applied to flavoured variants.</x:v>
      </x:c>
      <x:c r="W97" s="3"/>
      <x:c r="X97" s="3" t="str">
        <x:v>https://gnc.in/products/gnc-pro-performance-creatine-monohydrate-3000mg?variant=50582947594471</x:v>
      </x:c>
      <x:c r="Y97" s="3" t="str">
        <x:v>https://gnc.in/products/gnc-pro-performance-creatine-monohydrate-3000mg?variant=50582947594471</x:v>
      </x:c>
      <x:c r="Z97" s="3" t="str">
        <x:v>Creatine compound concentration not verified; compound cost omitted.</x:v>
      </x:c>
      <x:c r="AA97" s="3" t="str"/>
    </x:row>
    <x:row r="98" ht="44" customHeight="1">
      <x:c r="A98" s="3" t="str">
        <x:v>GNC</x:v>
      </x:c>
      <x:c r="B98" s="3" t="str">
        <x:v>Creatine Monohydrate</x:v>
      </x:c>
      <x:c r="C98" s="3" t="str">
        <x:v>Monohydrate</x:v>
      </x:c>
      <x:c r="D98" s="3" t="str">
        <x:v>Not specified</x:v>
      </x:c>
      <x:c r="E98" s="3" t="str">
        <x:v>Not specified</x:v>
      </x:c>
      <x:c r="F98" s="3" t="str">
        <x:v>Flavoured</x:v>
      </x:c>
      <x:c r="G98" s="3" t="str">
        <x:v>Orange</x:v>
      </x:c>
      <x:c r="H98" s="3" t="str">
        <x:v>Standard pack</x:v>
      </x:c>
      <x:c r="I98" s="13" t="n">
        <x:v>250</x:v>
      </x:c>
      <x:c r="J98" s="14" t="n">
        <x:v>649</x:v>
      </x:c>
      <x:c r="K98" s="11" t="n">
        <x:f>J98/I98</x:f>
        <x:v>2.596</x:v>
      </x:c>
      <x:c r="L98" s="13"/>
      <x:c r="M98" s="15" t="str">
        <x:f>IF(OR(L98="",L98=0),"",J98/(I98*L98/100))</x:f>
      </x:c>
      <x:c r="N98" s="15" t="str">
        <x:f>IF(M98="","",M98*3)</x:f>
      </x:c>
      <x:c r="O98" s="10"/>
      <x:c r="P98" s="10"/>
      <x:c r="Q98" s="10"/>
      <x:c r="R98" s="10"/>
      <x:c r="S98" s="3" t="str">
        <x:v>In stock</x:v>
      </x:c>
      <x:c r="T98" s="12" t="d">
        <x:v>2026-10-25T00:00:00.000Z</x:v>
      </x:c>
      <x:c r="U98" s="3" t="str">
        <x:v>cr-92</x:v>
      </x:c>
      <x:c r="V98" s="3" t="str">
        <x:v>Creatine compound concentration not verified; compound cost omitted. Canonical family page includes an unflavoured table; not applied to flavoured variants.</x:v>
      </x:c>
      <x:c r="W98" s="3"/>
      <x:c r="X98" s="3" t="str">
        <x:v>https://gnc.in/products/gnc-pro-performance-creatine-monohydrate-3000mg?variant=50180990107879</x:v>
      </x:c>
      <x:c r="Y98" s="3" t="str">
        <x:v>https://gnc.in/products/gnc-pro-performance-creatine-monohydrate-3000mg?variant=50180990107879</x:v>
      </x:c>
      <x:c r="Z98" s="3" t="str">
        <x:v>Creatine compound concentration not verified; compound cost omitted.</x:v>
      </x:c>
      <x:c r="AA98" s="3" t="str"/>
    </x:row>
    <x:row r="99" ht="44" customHeight="1">
      <x:c r="A99" s="3" t="str">
        <x:v>GNC</x:v>
      </x:c>
      <x:c r="B99" s="3" t="str">
        <x:v>Creatine Monohydrate</x:v>
      </x:c>
      <x:c r="C99" s="3" t="str">
        <x:v>Monohydrate</x:v>
      </x:c>
      <x:c r="D99" s="3" t="str">
        <x:v>Not specified</x:v>
      </x:c>
      <x:c r="E99" s="3" t="str">
        <x:v>Not specified</x:v>
      </x:c>
      <x:c r="F99" s="3" t="str">
        <x:v>Flavoured</x:v>
      </x:c>
      <x:c r="G99" s="3" t="str">
        <x:v>Orange</x:v>
      </x:c>
      <x:c r="H99" s="3" t="str">
        <x:v>Standard pack</x:v>
      </x:c>
      <x:c r="I99" s="13" t="n">
        <x:v>400</x:v>
      </x:c>
      <x:c r="J99" s="14" t="n">
        <x:v>1099</x:v>
      </x:c>
      <x:c r="K99" s="11" t="n">
        <x:f>J99/I99</x:f>
        <x:v>2.7475</x:v>
      </x:c>
      <x:c r="L99" s="13"/>
      <x:c r="M99" s="15" t="str">
        <x:f>IF(OR(L99="",L99=0),"",J99/(I99*L99/100))</x:f>
      </x:c>
      <x:c r="N99" s="15" t="str">
        <x:f>IF(M99="","",M99*3)</x:f>
      </x:c>
      <x:c r="O99" s="10"/>
      <x:c r="P99" s="10"/>
      <x:c r="Q99" s="10"/>
      <x:c r="R99" s="10"/>
      <x:c r="S99" s="3" t="str">
        <x:v>In stock</x:v>
      </x:c>
      <x:c r="T99" s="12" t="d">
        <x:v>2026-10-25T00:00:00.000Z</x:v>
      </x:c>
      <x:c r="U99" s="3" t="str">
        <x:v>cr-93</x:v>
      </x:c>
      <x:c r="V99" s="3" t="str">
        <x:v>Creatine compound concentration not verified; compound cost omitted. Canonical family page includes an unflavoured table; not applied to flavoured variants.</x:v>
      </x:c>
      <x:c r="W99" s="3"/>
      <x:c r="X99" s="3" t="str">
        <x:v>https://gnc.in/products/gnc-pro-performance-creatine-monohydrate-3000mg?variant=50180990075111</x:v>
      </x:c>
      <x:c r="Y99" s="3" t="str">
        <x:v>https://gnc.in/products/gnc-pro-performance-creatine-monohydrate-3000mg?variant=50180990075111</x:v>
      </x:c>
      <x:c r="Z99" s="3" t="str">
        <x:v>Creatine compound concentration not verified; compound cost omitted.</x:v>
      </x:c>
      <x:c r="AA99" s="3" t="str"/>
    </x:row>
    <x:row r="100" ht="44" customHeight="1">
      <x:c r="A100" s="3" t="str">
        <x:v>GNC</x:v>
      </x:c>
      <x:c r="B100" s="3" t="str">
        <x:v>Creatine Monohydrate</x:v>
      </x:c>
      <x:c r="C100" s="3" t="str">
        <x:v>Monohydrate</x:v>
      </x:c>
      <x:c r="D100" s="3" t="str">
        <x:v>Not specified</x:v>
      </x:c>
      <x:c r="E100" s="3" t="str">
        <x:v>Not specified</x:v>
      </x:c>
      <x:c r="F100" s="3" t="str">
        <x:v>Single ingredient</x:v>
      </x:c>
      <x:c r="G100" s="3" t="str">
        <x:v>Unflavoured</x:v>
      </x:c>
      <x:c r="H100" s="3" t="str">
        <x:v>Standard pack</x:v>
      </x:c>
      <x:c r="I100" s="13" t="n">
        <x:v>50</x:v>
      </x:c>
      <x:c r="J100" s="14" t="n">
        <x:v>199</x:v>
      </x:c>
      <x:c r="K100" s="11" t="n">
        <x:f>J100/I100</x:f>
        <x:v>3.98</x:v>
      </x:c>
      <x:c r="L100" s="13" t="n">
        <x:v>100</x:v>
      </x:c>
      <x:c r="M100" s="15" t="n">
        <x:f>IF(OR(L100="",L100=0),"",J100/(I100*L100/100))</x:f>
        <x:v>3.98</x:v>
      </x:c>
      <x:c r="N100" s="15" t="n">
        <x:f>IF(M100="","",M100*3)</x:f>
        <x:v>11.94</x:v>
      </x:c>
      <x:c r="O100" s="10"/>
      <x:c r="P100" s="10" t="n">
        <x:v>3</x:v>
      </x:c>
      <x:c r="Q100" s="10" t="n">
        <x:v>3</x:v>
      </x:c>
      <x:c r="R100" s="10" t="n">
        <x:v>0</x:v>
      </x:c>
      <x:c r="S100" s="3" t="str">
        <x:v>In stock</x:v>
      </x:c>
      <x:c r="T100" s="12" t="d">
        <x:v>2026-10-25T00:00:00.000Z</x:v>
      </x:c>
      <x:c r="U100" s="3" t="str">
        <x:v>cr-94</x:v>
      </x:c>
      <x:c r="V100" s="3" t="str">
        <x:v>Unflavoured nutrition table: 3000mg monohydrate per 3g serving.</x:v>
      </x:c>
      <x:c r="W100" s="3"/>
      <x:c r="X100" s="3" t="str">
        <x:v>https://gnc.in/products/gnc-pro-performance-creatine-monohydrate-3000mg?variant=52605490561255</x:v>
      </x:c>
      <x:c r="Y100" s="3" t="str">
        <x:v>https://gnc.in/products/gnc-pro-performance-creatine-monohydrate-3000mg?variant=52605490561255</x:v>
      </x:c>
      <x:c r="Z100" s="3" t="str">
        <x:v>Unflavoured nutrition table: 3000mg monohydrate per 3g serving.</x:v>
      </x:c>
      <x:c r="AA100" s="3" t="str">
        <x:v>Unflavoured nutrition table states 0 kcal.</x:v>
      </x:c>
    </x:row>
    <x:row r="101" ht="44" customHeight="1">
      <x:c r="A101" s="3" t="str">
        <x:v>GNC</x:v>
      </x:c>
      <x:c r="B101" s="3" t="str">
        <x:v>Creatine Monohydrate</x:v>
      </x:c>
      <x:c r="C101" s="3" t="str">
        <x:v>Monohydrate</x:v>
      </x:c>
      <x:c r="D101" s="3" t="str">
        <x:v>Not specified</x:v>
      </x:c>
      <x:c r="E101" s="3" t="str">
        <x:v>Not specified</x:v>
      </x:c>
      <x:c r="F101" s="3" t="str">
        <x:v>Single ingredient</x:v>
      </x:c>
      <x:c r="G101" s="3" t="str">
        <x:v>Unflavoured</x:v>
      </x:c>
      <x:c r="H101" s="3" t="str">
        <x:v>Standard pack</x:v>
      </x:c>
      <x:c r="I101" s="13" t="n">
        <x:v>100</x:v>
      </x:c>
      <x:c r="J101" s="14" t="n">
        <x:v>349</x:v>
      </x:c>
      <x:c r="K101" s="11" t="n">
        <x:f>J101/I101</x:f>
        <x:v>3.49</x:v>
      </x:c>
      <x:c r="L101" s="13" t="n">
        <x:v>100</x:v>
      </x:c>
      <x:c r="M101" s="15" t="n">
        <x:f>IF(OR(L101="",L101=0),"",J101/(I101*L101/100))</x:f>
        <x:v>3.49</x:v>
      </x:c>
      <x:c r="N101" s="15" t="n">
        <x:f>IF(M101="","",M101*3)</x:f>
        <x:v>10.47</x:v>
      </x:c>
      <x:c r="O101" s="10"/>
      <x:c r="P101" s="10" t="n">
        <x:v>3</x:v>
      </x:c>
      <x:c r="Q101" s="10" t="n">
        <x:v>3</x:v>
      </x:c>
      <x:c r="R101" s="10" t="n">
        <x:v>0</x:v>
      </x:c>
      <x:c r="S101" s="3" t="str">
        <x:v>In stock</x:v>
      </x:c>
      <x:c r="T101" s="12" t="d">
        <x:v>2026-10-25T00:00:00.000Z</x:v>
      </x:c>
      <x:c r="U101" s="3" t="str">
        <x:v>cr-95</x:v>
      </x:c>
      <x:c r="V101" s="3" t="str">
        <x:v>Unflavoured nutrition table: 3000mg monohydrate per 3g serving.</x:v>
      </x:c>
      <x:c r="W101" s="3"/>
      <x:c r="X101" s="3" t="str">
        <x:v>https://gnc.in/products/gnc-pro-performance-creatine-monohydrate-3000mg?variant=49645644775655</x:v>
      </x:c>
      <x:c r="Y101" s="3" t="str">
        <x:v>https://gnc.in/products/gnc-pro-performance-creatine-monohydrate-3000mg?variant=49645644775655</x:v>
      </x:c>
      <x:c r="Z101" s="3" t="str">
        <x:v>Unflavoured nutrition table: 3000mg monohydrate per 3g serving.</x:v>
      </x:c>
      <x:c r="AA101" s="3" t="str">
        <x:v>Unflavoured nutrition table states 0 kcal.</x:v>
      </x:c>
    </x:row>
    <x:row r="102" ht="44" customHeight="1">
      <x:c r="A102" s="3" t="str">
        <x:v>GNC</x:v>
      </x:c>
      <x:c r="B102" s="3" t="str">
        <x:v>Creatine Monohydrate</x:v>
      </x:c>
      <x:c r="C102" s="3" t="str">
        <x:v>Monohydrate</x:v>
      </x:c>
      <x:c r="D102" s="3" t="str">
        <x:v>Not specified</x:v>
      </x:c>
      <x:c r="E102" s="3" t="str">
        <x:v>Not specified</x:v>
      </x:c>
      <x:c r="F102" s="3" t="str">
        <x:v>Single ingredient</x:v>
      </x:c>
      <x:c r="G102" s="3" t="str">
        <x:v>Unflavoured</x:v>
      </x:c>
      <x:c r="H102" s="3" t="str">
        <x:v>Standard pack</x:v>
      </x:c>
      <x:c r="I102" s="13" t="n">
        <x:v>200</x:v>
      </x:c>
      <x:c r="J102" s="14" t="n">
        <x:v>599</x:v>
      </x:c>
      <x:c r="K102" s="11" t="n">
        <x:f>J102/I102</x:f>
        <x:v>2.995</x:v>
      </x:c>
      <x:c r="L102" s="13" t="n">
        <x:v>100</x:v>
      </x:c>
      <x:c r="M102" s="15" t="n">
        <x:f>IF(OR(L102="",L102=0),"",J102/(I102*L102/100))</x:f>
        <x:v>2.995</x:v>
      </x:c>
      <x:c r="N102" s="15" t="n">
        <x:f>IF(M102="","",M102*3)</x:f>
        <x:v>8.985</x:v>
      </x:c>
      <x:c r="O102" s="10"/>
      <x:c r="P102" s="10" t="n">
        <x:v>3</x:v>
      </x:c>
      <x:c r="Q102" s="10" t="n">
        <x:v>3</x:v>
      </x:c>
      <x:c r="R102" s="10" t="n">
        <x:v>0</x:v>
      </x:c>
      <x:c r="S102" s="3" t="str">
        <x:v>In stock</x:v>
      </x:c>
      <x:c r="T102" s="12" t="d">
        <x:v>2026-10-25T00:00:00.000Z</x:v>
      </x:c>
      <x:c r="U102" s="3" t="str">
        <x:v>cr-96</x:v>
      </x:c>
      <x:c r="V102" s="3" t="str">
        <x:v>Unflavoured nutrition table: 3000mg monohydrate per 3g serving.</x:v>
      </x:c>
      <x:c r="W102" s="3"/>
      <x:c r="X102" s="3" t="str">
        <x:v>https://gnc.in/products/gnc-pro-performance-creatine-monohydrate-3000mg?variant=49645644677351</x:v>
      </x:c>
      <x:c r="Y102" s="3" t="str">
        <x:v>https://gnc.in/products/gnc-pro-performance-creatine-monohydrate-3000mg?variant=49645644677351</x:v>
      </x:c>
      <x:c r="Z102" s="3" t="str">
        <x:v>Unflavoured nutrition table: 3000mg monohydrate per 3g serving.</x:v>
      </x:c>
      <x:c r="AA102" s="3" t="str">
        <x:v>Unflavoured nutrition table states 0 kcal.</x:v>
      </x:c>
    </x:row>
    <x:row r="103" ht="44" customHeight="1">
      <x:c r="A103" s="3" t="str">
        <x:v>GNC</x:v>
      </x:c>
      <x:c r="B103" s="3" t="str">
        <x:v>Creatine Monohydrate</x:v>
      </x:c>
      <x:c r="C103" s="3" t="str">
        <x:v>Monohydrate</x:v>
      </x:c>
      <x:c r="D103" s="3" t="str">
        <x:v>Not specified</x:v>
      </x:c>
      <x:c r="E103" s="3" t="str">
        <x:v>Not specified</x:v>
      </x:c>
      <x:c r="F103" s="3" t="str">
        <x:v>Single ingredient</x:v>
      </x:c>
      <x:c r="G103" s="3" t="str">
        <x:v>Unflavoured</x:v>
      </x:c>
      <x:c r="H103" s="3" t="str">
        <x:v>Standard pack</x:v>
      </x:c>
      <x:c r="I103" s="13" t="n">
        <x:v>250</x:v>
      </x:c>
      <x:c r="J103" s="14" t="n">
        <x:v>649</x:v>
      </x:c>
      <x:c r="K103" s="11" t="n">
        <x:f>J103/I103</x:f>
        <x:v>2.596</x:v>
      </x:c>
      <x:c r="L103" s="13" t="n">
        <x:v>100</x:v>
      </x:c>
      <x:c r="M103" s="15" t="n">
        <x:f>IF(OR(L103="",L103=0),"",J103/(I103*L103/100))</x:f>
        <x:v>2.596</x:v>
      </x:c>
      <x:c r="N103" s="15" t="n">
        <x:f>IF(M103="","",M103*3)</x:f>
        <x:v>7.788</x:v>
      </x:c>
      <x:c r="O103" s="10"/>
      <x:c r="P103" s="10" t="n">
        <x:v>3</x:v>
      </x:c>
      <x:c r="Q103" s="10" t="n">
        <x:v>3</x:v>
      </x:c>
      <x:c r="R103" s="10" t="n">
        <x:v>0</x:v>
      </x:c>
      <x:c r="S103" s="3" t="str">
        <x:v>In stock</x:v>
      </x:c>
      <x:c r="T103" s="12" t="d">
        <x:v>2026-10-25T00:00:00.000Z</x:v>
      </x:c>
      <x:c r="U103" s="3" t="str">
        <x:v>cr-97</x:v>
      </x:c>
      <x:c r="V103" s="3" t="str">
        <x:v>Unflavoured nutrition table: 3000mg monohydrate per 3g serving.</x:v>
      </x:c>
      <x:c r="W103" s="3"/>
      <x:c r="X103" s="3" t="str">
        <x:v>https://gnc.in/products/gnc-pro-performance-creatine-monohydrate-3000mg?variant=43752811954407</x:v>
      </x:c>
      <x:c r="Y103" s="3" t="str">
        <x:v>https://gnc.in/products/gnc-pro-performance-creatine-monohydrate-3000mg?variant=43752811954407</x:v>
      </x:c>
      <x:c r="Z103" s="3" t="str">
        <x:v>Unflavoured nutrition table: 3000mg monohydrate per 3g serving.</x:v>
      </x:c>
      <x:c r="AA103" s="3" t="str">
        <x:v>Unflavoured nutrition table states 0 kcal.</x:v>
      </x:c>
    </x:row>
    <x:row r="104" ht="44" customHeight="1">
      <x:c r="A104" s="3" t="str">
        <x:v>GNC</x:v>
      </x:c>
      <x:c r="B104" s="3" t="str">
        <x:v>Creatine Monohydrate</x:v>
      </x:c>
      <x:c r="C104" s="3" t="str">
        <x:v>Monohydrate</x:v>
      </x:c>
      <x:c r="D104" s="3" t="str">
        <x:v>Not specified</x:v>
      </x:c>
      <x:c r="E104" s="3" t="str">
        <x:v>Not specified</x:v>
      </x:c>
      <x:c r="F104" s="3" t="str">
        <x:v>Single ingredient</x:v>
      </x:c>
      <x:c r="G104" s="3" t="str">
        <x:v>Unflavoured</x:v>
      </x:c>
      <x:c r="H104" s="3" t="str">
        <x:v>Standard pack</x:v>
      </x:c>
      <x:c r="I104" s="13" t="n">
        <x:v>400</x:v>
      </x:c>
      <x:c r="J104" s="14" t="n">
        <x:v>1099</x:v>
      </x:c>
      <x:c r="K104" s="11" t="n">
        <x:f>J104/I104</x:f>
        <x:v>2.7475</x:v>
      </x:c>
      <x:c r="L104" s="13" t="n">
        <x:v>100</x:v>
      </x:c>
      <x:c r="M104" s="15" t="n">
        <x:f>IF(OR(L104="",L104=0),"",J104/(I104*L104/100))</x:f>
        <x:v>2.7475</x:v>
      </x:c>
      <x:c r="N104" s="15" t="n">
        <x:f>IF(M104="","",M104*3)</x:f>
        <x:v>8.2425</x:v>
      </x:c>
      <x:c r="O104" s="10"/>
      <x:c r="P104" s="10" t="n">
        <x:v>3</x:v>
      </x:c>
      <x:c r="Q104" s="10" t="n">
        <x:v>3</x:v>
      </x:c>
      <x:c r="R104" s="10" t="n">
        <x:v>0</x:v>
      </x:c>
      <x:c r="S104" s="3" t="str">
        <x:v>In stock</x:v>
      </x:c>
      <x:c r="T104" s="12" t="d">
        <x:v>2026-10-25T00:00:00.000Z</x:v>
      </x:c>
      <x:c r="U104" s="3" t="str">
        <x:v>cr-98</x:v>
      </x:c>
      <x:c r="V104" s="3" t="str">
        <x:v>Unflavoured nutrition table: 3000mg monohydrate per 3g serving.</x:v>
      </x:c>
      <x:c r="W104" s="3"/>
      <x:c r="X104" s="3" t="str">
        <x:v>https://gnc.in/products/gnc-pro-performance-creatine-monohydrate-3000mg?variant=49645644579047</x:v>
      </x:c>
      <x:c r="Y104" s="3" t="str">
        <x:v>https://gnc.in/products/gnc-pro-performance-creatine-monohydrate-3000mg?variant=49645644579047</x:v>
      </x:c>
      <x:c r="Z104" s="3" t="str">
        <x:v>Unflavoured nutrition table: 3000mg monohydrate per 3g serving.</x:v>
      </x:c>
      <x:c r="AA104" s="3" t="str">
        <x:v>Unflavoured nutrition table states 0 kcal.</x:v>
      </x:c>
    </x:row>
    <x:row r="105" ht="44" customHeight="1">
      <x:c r="A105" s="3" t="str">
        <x:v>GNC</x:v>
      </x:c>
      <x:c r="B105" s="3" t="str">
        <x:v>GNC Select Creatine &amp; Taurine</x:v>
      </x:c>
      <x:c r="C105" s="3" t="str">
        <x:v>Monohydrate</x:v>
      </x:c>
      <x:c r="D105" s="3" t="str">
        <x:v>Not specified</x:v>
      </x:c>
      <x:c r="E105" s="3" t="str">
        <x:v>Not specified</x:v>
      </x:c>
      <x:c r="F105" s="3" t="str">
        <x:v>With taurine</x:v>
      </x:c>
      <x:c r="G105" s="3" t="str">
        <x:v>Orange</x:v>
      </x:c>
      <x:c r="H105" s="3" t="str">
        <x:v>Standard pack</x:v>
      </x:c>
      <x:c r="I105" s="13" t="n">
        <x:v>100</x:v>
      </x:c>
      <x:c r="J105" s="14" t="n">
        <x:v>349</x:v>
      </x:c>
      <x:c r="K105" s="11" t="n">
        <x:f>J105/I105</x:f>
        <x:v>3.49</x:v>
      </x:c>
      <x:c r="L105" s="13"/>
      <x:c r="M105" s="15" t="str">
        <x:f>IF(OR(L105="",L105=0),"",J105/(I105*L105/100))</x:f>
      </x:c>
      <x:c r="N105" s="15" t="str">
        <x:f>IF(M105="","",M105*3)</x:f>
      </x:c>
      <x:c r="O105" s="10"/>
      <x:c r="P105" s="10"/>
      <x:c r="Q105" s="10"/>
      <x:c r="R105" s="10"/>
      <x:c r="S105" s="3" t="str">
        <x:v>Sold out</x:v>
      </x:c>
      <x:c r="T105" s="12" t="d">
        <x:v>2026-10-25T00:00:00.000Z</x:v>
      </x:c>
      <x:c r="U105" s="3" t="str">
        <x:v>cr-99</x:v>
      </x:c>
      <x:c r="V105" s="3" t="str">
        <x:v>Creatine compound concentration not verified; compound cost omitted. Canonical family page includes an unflavoured table; not applied to flavoured variants.</x:v>
      </x:c>
      <x:c r="W105" s="3"/>
      <x:c r="X105" s="3" t="str">
        <x:v>https://gnc.in/products/gnc-select-creatine-taurine?variant=51993865912551</x:v>
      </x:c>
      <x:c r="Y105" s="3" t="str">
        <x:v>https://gnc.in/products/gnc-select-creatine-taurine?variant=51993865912551</x:v>
      </x:c>
      <x:c r="Z105" s="3" t="str">
        <x:v>Creatine compound concentration not verified; compound cost omitted.</x:v>
      </x:c>
      <x:c r="AA105" s="3" t="str"/>
    </x:row>
    <x:row r="106" ht="44" customHeight="1">
      <x:c r="A106" s="3" t="str">
        <x:v>GNC</x:v>
      </x:c>
      <x:c r="B106" s="3" t="str">
        <x:v>GNC Select Creatine &amp; Taurine</x:v>
      </x:c>
      <x:c r="C106" s="3" t="str">
        <x:v>Monohydrate</x:v>
      </x:c>
      <x:c r="D106" s="3" t="str">
        <x:v>Not specified</x:v>
      </x:c>
      <x:c r="E106" s="3" t="str">
        <x:v>Not specified</x:v>
      </x:c>
      <x:c r="F106" s="3" t="str">
        <x:v>With taurine</x:v>
      </x:c>
      <x:c r="G106" s="3" t="str">
        <x:v>Orange</x:v>
      </x:c>
      <x:c r="H106" s="3" t="str">
        <x:v>Standard pack</x:v>
      </x:c>
      <x:c r="I106" s="13" t="n">
        <x:v>250</x:v>
      </x:c>
      <x:c r="J106" s="14" t="n">
        <x:v>749</x:v>
      </x:c>
      <x:c r="K106" s="11" t="n">
        <x:f>J106/I106</x:f>
        <x:v>2.996</x:v>
      </x:c>
      <x:c r="L106" s="13"/>
      <x:c r="M106" s="15" t="str">
        <x:f>IF(OR(L106="",L106=0),"",J106/(I106*L106/100))</x:f>
      </x:c>
      <x:c r="N106" s="15" t="str">
        <x:f>IF(M106="","",M106*3)</x:f>
      </x:c>
      <x:c r="O106" s="10"/>
      <x:c r="P106" s="10"/>
      <x:c r="Q106" s="10"/>
      <x:c r="R106" s="10"/>
      <x:c r="S106" s="3" t="str">
        <x:v>Sold out</x:v>
      </x:c>
      <x:c r="T106" s="12" t="d">
        <x:v>2026-10-25T00:00:00.000Z</x:v>
      </x:c>
      <x:c r="U106" s="3" t="str">
        <x:v>cr-100</x:v>
      </x:c>
      <x:c r="V106" s="3" t="str">
        <x:v>Creatine compound concentration not verified; compound cost omitted. Canonical family page includes an unflavoured table; not applied to flavoured variants.</x:v>
      </x:c>
      <x:c r="W106" s="3"/>
      <x:c r="X106" s="3" t="str">
        <x:v>https://gnc.in/products/gnc-select-creatine-taurine?variant=51993865978087</x:v>
      </x:c>
      <x:c r="Y106" s="3" t="str">
        <x:v>https://gnc.in/products/gnc-select-creatine-taurine?variant=51993865978087</x:v>
      </x:c>
      <x:c r="Z106" s="3" t="str">
        <x:v>Creatine compound concentration not verified; compound cost omitted.</x:v>
      </x:c>
      <x:c r="AA106" s="3" t="str"/>
    </x:row>
    <x:row r="107" ht="44" customHeight="1">
      <x:c r="A107" s="3" t="str">
        <x:v>GNC</x:v>
      </x:c>
      <x:c r="B107" s="3" t="str">
        <x:v>GNC Select Creatine &amp; Taurine</x:v>
      </x:c>
      <x:c r="C107" s="3" t="str">
        <x:v>Monohydrate</x:v>
      </x:c>
      <x:c r="D107" s="3" t="str">
        <x:v>Not specified</x:v>
      </x:c>
      <x:c r="E107" s="3" t="str">
        <x:v>Not specified</x:v>
      </x:c>
      <x:c r="F107" s="3" t="str">
        <x:v>With taurine</x:v>
      </x:c>
      <x:c r="G107" s="3" t="str">
        <x:v>Unflavoured</x:v>
      </x:c>
      <x:c r="H107" s="3" t="str">
        <x:v>Standard pack</x:v>
      </x:c>
      <x:c r="I107" s="13" t="n">
        <x:v>100</x:v>
      </x:c>
      <x:c r="J107" s="14" t="n">
        <x:v>349</x:v>
      </x:c>
      <x:c r="K107" s="11" t="n">
        <x:f>J107/I107</x:f>
        <x:v>3.49</x:v>
      </x:c>
      <x:c r="L107" s="13"/>
      <x:c r="M107" s="15" t="str">
        <x:f>IF(OR(L107="",L107=0),"",J107/(I107*L107/100))</x:f>
      </x:c>
      <x:c r="N107" s="15" t="str">
        <x:f>IF(M107="","",M107*3)</x:f>
      </x:c>
      <x:c r="O107" s="10"/>
      <x:c r="P107" s="10"/>
      <x:c r="Q107" s="10"/>
      <x:c r="R107" s="10"/>
      <x:c r="S107" s="3" t="str">
        <x:v>Sold out</x:v>
      </x:c>
      <x:c r="T107" s="12" t="d">
        <x:v>2026-10-25T00:00:00.000Z</x:v>
      </x:c>
      <x:c r="U107" s="3" t="str">
        <x:v>cr-101</x:v>
      </x:c>
      <x:c r="V107" s="3" t="str">
        <x:v>Creatine compound concentration not verified; compound cost omitted.</x:v>
      </x:c>
      <x:c r="W107" s="3"/>
      <x:c r="X107" s="3" t="str">
        <x:v>https://gnc.in/products/gnc-select-creatine-taurine?variant=51993865879783</x:v>
      </x:c>
      <x:c r="Y107" s="3" t="str">
        <x:v>https://gnc.in/products/gnc-select-creatine-taurine?variant=51993865879783</x:v>
      </x:c>
      <x:c r="Z107" s="3" t="str">
        <x:v>Creatine compound concentration not verified; compound cost omitted.</x:v>
      </x:c>
      <x:c r="AA107" s="3" t="str"/>
    </x:row>
    <x:row r="108" ht="44" customHeight="1">
      <x:c r="A108" s="3" t="str">
        <x:v>GNC</x:v>
      </x:c>
      <x:c r="B108" s="3" t="str">
        <x:v>GNC Select Creatine &amp; Taurine</x:v>
      </x:c>
      <x:c r="C108" s="3" t="str">
        <x:v>Monohydrate</x:v>
      </x:c>
      <x:c r="D108" s="3" t="str">
        <x:v>Not specified</x:v>
      </x:c>
      <x:c r="E108" s="3" t="str">
        <x:v>Not specified</x:v>
      </x:c>
      <x:c r="F108" s="3" t="str">
        <x:v>With taurine</x:v>
      </x:c>
      <x:c r="G108" s="3" t="str">
        <x:v>Unflavoured</x:v>
      </x:c>
      <x:c r="H108" s="3" t="str">
        <x:v>Standard pack</x:v>
      </x:c>
      <x:c r="I108" s="13" t="n">
        <x:v>250</x:v>
      </x:c>
      <x:c r="J108" s="14" t="n">
        <x:v>749</x:v>
      </x:c>
      <x:c r="K108" s="11" t="n">
        <x:f>J108/I108</x:f>
        <x:v>2.996</x:v>
      </x:c>
      <x:c r="L108" s="13"/>
      <x:c r="M108" s="15" t="str">
        <x:f>IF(OR(L108="",L108=0),"",J108/(I108*L108/100))</x:f>
      </x:c>
      <x:c r="N108" s="15" t="str">
        <x:f>IF(M108="","",M108*3)</x:f>
      </x:c>
      <x:c r="O108" s="10"/>
      <x:c r="P108" s="10"/>
      <x:c r="Q108" s="10"/>
      <x:c r="R108" s="10"/>
      <x:c r="S108" s="3" t="str">
        <x:v>Sold out</x:v>
      </x:c>
      <x:c r="T108" s="12" t="d">
        <x:v>2026-10-25T00:00:00.000Z</x:v>
      </x:c>
      <x:c r="U108" s="3" t="str">
        <x:v>cr-102</x:v>
      </x:c>
      <x:c r="V108" s="3" t="str">
        <x:v>Creatine compound concentration not verified; compound cost omitted.</x:v>
      </x:c>
      <x:c r="W108" s="3"/>
      <x:c r="X108" s="3" t="str">
        <x:v>https://gnc.in/products/gnc-select-creatine-taurine?variant=51993865945319</x:v>
      </x:c>
      <x:c r="Y108" s="3" t="str">
        <x:v>https://gnc.in/products/gnc-select-creatine-taurine?variant=51993865945319</x:v>
      </x:c>
      <x:c r="Z108" s="3" t="str">
        <x:v>Creatine compound concentration not verified; compound cost omitted.</x:v>
      </x:c>
      <x:c r="AA108" s="3" t="str"/>
    </x:row>
    <x:row r="109" ht="44" customHeight="1">
      <x:c r="A109" s="3" t="str">
        <x:v>Isopure</x:v>
      </x:c>
      <x:c r="B109" s="3" t="str">
        <x:v>Micronized Creatine Monohydrate</x:v>
      </x:c>
      <x:c r="C109" s="3" t="str">
        <x:v>Monohydrate</x:v>
      </x:c>
      <x:c r="D109" s="3" t="str">
        <x:v>Micronized</x:v>
      </x:c>
      <x:c r="E109" s="3" t="str">
        <x:v>Not specified</x:v>
      </x:c>
      <x:c r="F109" s="3" t="str">
        <x:v>Not specified</x:v>
      </x:c>
      <x:c r="G109" s="3" t="str">
        <x:v>Unflavoured</x:v>
      </x:c>
      <x:c r="H109" s="3" t="str">
        <x:v>Standard pack</x:v>
      </x:c>
      <x:c r="I109" s="13" t="n">
        <x:v>250</x:v>
      </x:c>
      <x:c r="J109" s="14" t="n">
        <x:v>819</x:v>
      </x:c>
      <x:c r="K109" s="11" t="n">
        <x:f>J109/I109</x:f>
        <x:v>3.276</x:v>
      </x:c>
      <x:c r="L109" s="13"/>
      <x:c r="M109" s="15" t="str">
        <x:f>IF(OR(L109="",L109=0),"",J109/(I109*L109/100))</x:f>
      </x:c>
      <x:c r="N109" s="15" t="str">
        <x:f>IF(M109="","",M109*3)</x:f>
      </x:c>
      <x:c r="O109" s="10"/>
      <x:c r="P109" s="10"/>
      <x:c r="Q109" s="10" t="n">
        <x:v>3</x:v>
      </x:c>
      <x:c r="R109" s="10"/>
      <x:c r="S109" s="3" t="str">
        <x:v>In stock</x:v>
      </x:c>
      <x:c r="T109" s="12" t="d">
        <x:v>2026-10-25T00:00:00.000Z</x:v>
      </x:c>
      <x:c r="U109" s="3" t="str">
        <x:v>cr-103</x:v>
      </x:c>
      <x:c r="V109" s="3" t="str">
        <x:v>Creatine compound concentration not verified; compound cost omitted. Brand states no fillers or flavours; exact serving weight/concentration not verified.</x:v>
      </x:c>
      <x:c r="W109" s="3"/>
      <x:c r="X109" s="3" t="str">
        <x:v>https://www.optimumnutrition.co.in/products/isopure-100-creatine-monohydrate-micronized-250g-83-servings-increase-lean-muscle-mass-enhances-muscular-endurance-1159940?variant=46471479230690</x:v>
      </x:c>
      <x:c r="Y109" s="3" t="str">
        <x:v>https://www.optimumnutrition.co.in/products/isopure-100-creatine-monohydrate-micronized-250g-83-servings-increase-lean-muscle-mass-enhances-muscular-endurance-1159940?variant=46471479230690</x:v>
      </x:c>
      <x:c r="Z109" s="3" t="str">
        <x:v>Creatine compound concentration not verified; compound cost omitted.</x:v>
      </x:c>
      <x:c r="AA109" s="3" t="str"/>
    </x:row>
    <x:row r="110" ht="44" customHeight="1">
      <x:c r="A110" s="3" t="str">
        <x:v>Muscle Nectar</x:v>
      </x:c>
      <x:c r="B110" s="3" t="str">
        <x:v>Muscle Nectar Creapure® Creatine Monohydrate</x:v>
      </x:c>
      <x:c r="C110" s="3" t="str">
        <x:v>Monohydrate</x:v>
      </x:c>
      <x:c r="D110" s="3" t="str">
        <x:v>Not specified</x:v>
      </x:c>
      <x:c r="E110" s="3" t="str">
        <x:v>Creapure®</x:v>
      </x:c>
      <x:c r="F110" s="3" t="str">
        <x:v>With piperine</x:v>
      </x:c>
      <x:c r="G110" s="3" t="str">
        <x:v>Unflavoured</x:v>
      </x:c>
      <x:c r="H110" s="3" t="str">
        <x:v>Standard pack</x:v>
      </x:c>
      <x:c r="I110" s="13" t="n">
        <x:v>100</x:v>
      </x:c>
      <x:c r="J110" s="14" t="n">
        <x:v>699</x:v>
      </x:c>
      <x:c r="K110" s="11" t="n">
        <x:f>J110/I110</x:f>
        <x:v>6.99</x:v>
      </x:c>
      <x:c r="L110" s="13" t="n">
        <x:v>99.9</x:v>
      </x:c>
      <x:c r="M110" s="15" t="n">
        <x:f>IF(OR(L110="",L110=0),"",J110/(I110*L110/100))</x:f>
        <x:v>6.996996996996996</x:v>
      </x:c>
      <x:c r="N110" s="15" t="n">
        <x:f>IF(M110="","",M110*3)</x:f>
        <x:v>20.990990990990987</x:v>
      </x:c>
      <x:c r="O110" s="10"/>
      <x:c r="P110" s="10" t="n">
        <x:v>3</x:v>
      </x:c>
      <x:c r="Q110" s="10" t="n">
        <x:v>2.998</x:v>
      </x:c>
      <x:c r="R110" s="10" t="n">
        <x:v>0</x:v>
      </x:c>
      <x:c r="S110" s="3" t="str">
        <x:v>In stock</x:v>
      </x:c>
      <x:c r="T110" s="12" t="d">
        <x:v>2026-10-25T00:00:00.000Z</x:v>
      </x:c>
      <x:c r="U110" s="3" t="str">
        <x:v>cr-104</x:v>
      </x:c>
      <x:c r="V110" s="3" t="str">
        <x:v>Official product label, visually verified: named creatine compound quantity; per100g stated or calculated from serving. Brand per100g column states 99.9g, while 2.998g / 3g differs slightly due to label rounding; per100g retained. Same formula across sizes.</x:v>
      </x:c>
      <x:c r="W110" s="3"/>
      <x:c r="X110" s="3" t="str">
        <x:v>https://musclenectar.com/products/creapure-creatine-monohydrate?variant=44981126791394</x:v>
      </x:c>
      <x:c r="Y110" s="3" t="str">
        <x:v>https://cdn.shopify.com/s/files/1/0503/7844/0897/files/Muscle-Nectar-Creatine-Monohydrate-Creapure-Unflavoured-100g-NF-01.jpg?v=1778314122</x:v>
      </x:c>
      <x:c r="Z110" s="3" t="str">
        <x:v>Official product label, visually verified: named creatine compound quantity; per100g stated or calculated from serving.</x:v>
      </x:c>
      <x:c r="AA110" s="3" t="str">
        <x:v>Official label per100g energy or serving kcal × 100 / serving grams.</x:v>
      </x:c>
    </x:row>
    <x:row r="111" ht="44" customHeight="1">
      <x:c r="A111" s="3" t="str">
        <x:v>Muscle Nectar</x:v>
      </x:c>
      <x:c r="B111" s="3" t="str">
        <x:v>Muscle Nectar Creapure® Creatine Monohydrate</x:v>
      </x:c>
      <x:c r="C111" s="3" t="str">
        <x:v>Monohydrate</x:v>
      </x:c>
      <x:c r="D111" s="3" t="str">
        <x:v>Not specified</x:v>
      </x:c>
      <x:c r="E111" s="3" t="str">
        <x:v>Creapure®</x:v>
      </x:c>
      <x:c r="F111" s="3" t="str">
        <x:v>With piperine</x:v>
      </x:c>
      <x:c r="G111" s="3" t="str">
        <x:v>Unflavoured</x:v>
      </x:c>
      <x:c r="H111" s="3" t="str">
        <x:v>Standard pack</x:v>
      </x:c>
      <x:c r="I111" s="13" t="n">
        <x:v>200</x:v>
      </x:c>
      <x:c r="J111" s="14" t="n">
        <x:v>1349</x:v>
      </x:c>
      <x:c r="K111" s="11" t="n">
        <x:f>J111/I111</x:f>
        <x:v>6.745</x:v>
      </x:c>
      <x:c r="L111" s="13" t="n">
        <x:v>99.9</x:v>
      </x:c>
      <x:c r="M111" s="15" t="n">
        <x:f>IF(OR(L111="",L111=0),"",J111/(I111*L111/100))</x:f>
        <x:v>6.751751751751751</x:v>
      </x:c>
      <x:c r="N111" s="15" t="n">
        <x:f>IF(M111="","",M111*3)</x:f>
        <x:v>20.255255255255253</x:v>
      </x:c>
      <x:c r="O111" s="10"/>
      <x:c r="P111" s="10" t="n">
        <x:v>3</x:v>
      </x:c>
      <x:c r="Q111" s="10" t="n">
        <x:v>2.998</x:v>
      </x:c>
      <x:c r="R111" s="10" t="n">
        <x:v>0</x:v>
      </x:c>
      <x:c r="S111" s="3" t="str">
        <x:v>In stock</x:v>
      </x:c>
      <x:c r="T111" s="12" t="d">
        <x:v>2026-10-25T00:00:00.000Z</x:v>
      </x:c>
      <x:c r="U111" s="3" t="str">
        <x:v>cr-105</x:v>
      </x:c>
      <x:c r="V111" s="3" t="str">
        <x:v>Official product label, visually verified: named creatine compound quantity; per100g stated or calculated from serving. Brand per100g column states 99.9g, while 2.998g / 3g differs slightly due to label rounding; per100g retained. Same formula across sizes.</x:v>
      </x:c>
      <x:c r="W111" s="3"/>
      <x:c r="X111" s="3" t="str">
        <x:v>https://musclenectar.com/products/creapure-creatine-monohydrate?variant=44593916707042</x:v>
      </x:c>
      <x:c r="Y111" s="3" t="str">
        <x:v>https://cdn.shopify.com/s/files/1/0503/7844/0897/files/Muscle-Nectar-Creatine-Monohydrate-Creapure-Unflavoured-100g-NF-01.jpg?v=1778314122</x:v>
      </x:c>
      <x:c r="Z111" s="3" t="str">
        <x:v>Official product label, visually verified: named creatine compound quantity; per100g stated or calculated from serving.</x:v>
      </x:c>
      <x:c r="AA111" s="3" t="str">
        <x:v>Official label per100g energy or serving kcal × 100 / serving grams.</x:v>
      </x:c>
    </x:row>
    <x:row r="112" ht="44" customHeight="1">
      <x:c r="A112" s="3" t="str">
        <x:v>Muscle Nectar</x:v>
      </x:c>
      <x:c r="B112" s="3" t="str">
        <x:v>Muscle Nectar Creatine Monohydrate – Micronized Creatine</x:v>
      </x:c>
      <x:c r="C112" s="3" t="str">
        <x:v>Monohydrate</x:v>
      </x:c>
      <x:c r="D112" s="3" t="str">
        <x:v>Ultra-micronized</x:v>
      </x:c>
      <x:c r="E112" s="3" t="str">
        <x:v>Not specified</x:v>
      </x:c>
      <x:c r="F112" s="3" t="str">
        <x:v>With piperine</x:v>
      </x:c>
      <x:c r="G112" s="3" t="str">
        <x:v>Unflavoured</x:v>
      </x:c>
      <x:c r="H112" s="3" t="str">
        <x:v>Standard pack</x:v>
      </x:c>
      <x:c r="I112" s="13" t="n">
        <x:v>100</x:v>
      </x:c>
      <x:c r="J112" s="14" t="n">
        <x:v>299</x:v>
      </x:c>
      <x:c r="K112" s="11" t="n">
        <x:f>J112/I112</x:f>
        <x:v>2.99</x:v>
      </x:c>
      <x:c r="L112" s="13" t="n">
        <x:v>99.93333333333334</x:v>
      </x:c>
      <x:c r="M112" s="15" t="n">
        <x:f>IF(OR(L112="",L112=0),"",J112/(I112*L112/100))</x:f>
        <x:v>2.991994663108739</x:v>
      </x:c>
      <x:c r="N112" s="15" t="n">
        <x:f>IF(M112="","",M112*3)</x:f>
        <x:v>8.975983989326217</x:v>
      </x:c>
      <x:c r="O112" s="10" t="n">
        <x:v>3</x:v>
      </x:c>
      <x:c r="P112" s="10" t="n">
        <x:v>3</x:v>
      </x:c>
      <x:c r="Q112" s="10" t="n">
        <x:v>2.998</x:v>
      </x:c>
      <x:c r="R112" s="10" t="n">
        <x:v>0</x:v>
      </x:c>
      <x:c r="S112" s="3" t="str">
        <x:v>In stock</x:v>
      </x:c>
      <x:c r="T112" s="12" t="d">
        <x:v>2026-10-25T00:00:00.000Z</x:v>
      </x:c>
      <x:c r="U112" s="3" t="str">
        <x:v>cr-106</x:v>
      </x:c>
      <x:c r="V112" s="3" t="str">
        <x:v>Official product label, visually verified: named creatine compound quantity; per100g stated or calculated from serving. 100g label used for same unflavoured formula at 250g. Contains 2.5mg piperine per serving.</x:v>
      </x:c>
      <x:c r="W112" s="3"/>
      <x:c r="X112" s="3" t="str">
        <x:v>https://musclenectar.com/products/creatine-monohydrate?variant=44369615552738</x:v>
      </x:c>
      <x:c r="Y112" s="3" t="str">
        <x:v>https://cdn.shopify.com/s/files/1/0503/7844/0897/files/Muscle-Nectar-Creatine-Monohydrate-100g-Nutrition-Facts.jpg?v=1775468734</x:v>
      </x:c>
      <x:c r="Z112" s="3" t="str">
        <x:v>Official product label, visually verified: named creatine compound quantity; per100g stated or calculated from serving.</x:v>
      </x:c>
      <x:c r="AA112" s="3" t="str">
        <x:v>Official label per100g energy or serving kcal × 100 / serving grams.</x:v>
      </x:c>
    </x:row>
    <x:row r="113" ht="44" customHeight="1">
      <x:c r="A113" s="3" t="str">
        <x:v>Muscle Nectar</x:v>
      </x:c>
      <x:c r="B113" s="3" t="str">
        <x:v>Muscle Nectar Creatine Monohydrate – Micronized Creatine</x:v>
      </x:c>
      <x:c r="C113" s="3" t="str">
        <x:v>Monohydrate</x:v>
      </x:c>
      <x:c r="D113" s="3" t="str">
        <x:v>Ultra-micronized</x:v>
      </x:c>
      <x:c r="E113" s="3" t="str">
        <x:v>Not specified</x:v>
      </x:c>
      <x:c r="F113" s="3" t="str">
        <x:v>With piperine</x:v>
      </x:c>
      <x:c r="G113" s="3" t="str">
        <x:v>Unflavoured</x:v>
      </x:c>
      <x:c r="H113" s="3" t="str">
        <x:v>Standard pack</x:v>
      </x:c>
      <x:c r="I113" s="13" t="n">
        <x:v>250</x:v>
      </x:c>
      <x:c r="J113" s="14" t="n">
        <x:v>549</x:v>
      </x:c>
      <x:c r="K113" s="11" t="n">
        <x:f>J113/I113</x:f>
        <x:v>2.196</x:v>
      </x:c>
      <x:c r="L113" s="13" t="n">
        <x:v>99.93333333333334</x:v>
      </x:c>
      <x:c r="M113" s="15" t="n">
        <x:f>IF(OR(L113="",L113=0),"",J113/(I113*L113/100))</x:f>
        <x:v>2.1974649766511005</x:v>
      </x:c>
      <x:c r="N113" s="15" t="n">
        <x:f>IF(M113="","",M113*3)</x:f>
        <x:v>6.592394929953302</x:v>
      </x:c>
      <x:c r="O113" s="10" t="n">
        <x:v>3</x:v>
      </x:c>
      <x:c r="P113" s="10" t="n">
        <x:v>3</x:v>
      </x:c>
      <x:c r="Q113" s="10" t="n">
        <x:v>2.998</x:v>
      </x:c>
      <x:c r="R113" s="10" t="n">
        <x:v>0</x:v>
      </x:c>
      <x:c r="S113" s="3" t="str">
        <x:v>In stock</x:v>
      </x:c>
      <x:c r="T113" s="12" t="d">
        <x:v>2026-10-25T00:00:00.000Z</x:v>
      </x:c>
      <x:c r="U113" s="3" t="str">
        <x:v>cr-107</x:v>
      </x:c>
      <x:c r="V113" s="3" t="str">
        <x:v>Official product label, visually verified: named creatine compound quantity; per100g stated or calculated from serving. 100g label used for same unflavoured formula at 250g. Contains 2.5mg piperine per serving.</x:v>
      </x:c>
      <x:c r="W113" s="3"/>
      <x:c r="X113" s="3" t="str">
        <x:v>https://musclenectar.com/products/creatine-monohydrate?variant=37121742536897</x:v>
      </x:c>
      <x:c r="Y113" s="3" t="str">
        <x:v>https://cdn.shopify.com/s/files/1/0503/7844/0897/files/Muscle-Nectar-Creatine-Monohydrate-100g-Nutrition-Facts.jpg?v=1775468734</x:v>
      </x:c>
      <x:c r="Z113" s="3" t="str">
        <x:v>Official product label, visually verified: named creatine compound quantity; per100g stated or calculated from serving.</x:v>
      </x:c>
      <x:c r="AA113" s="3" t="str">
        <x:v>Official label per100g energy or serving kcal × 100 / serving grams.</x:v>
      </x:c>
    </x:row>
    <x:row r="114" ht="44" customHeight="1">
      <x:c r="A114" s="3" t="str">
        <x:v>MuscleBlaze</x:v>
      </x:c>
      <x:c r="B114" s="3" t="str">
        <x:v>CreaPRO Creatine with Creapure® Powder from Germany</x:v>
      </x:c>
      <x:c r="C114" s="3" t="str">
        <x:v>Monohydrate</x:v>
      </x:c>
      <x:c r="D114" s="3" t="str">
        <x:v>Not specified</x:v>
      </x:c>
      <x:c r="E114" s="3" t="str">
        <x:v>Creapure®</x:v>
      </x:c>
      <x:c r="F114" s="3" t="str">
        <x:v>Not specified</x:v>
      </x:c>
      <x:c r="G114" s="3" t="str">
        <x:v>Melon Twist</x:v>
      </x:c>
      <x:c r="H114" s="3" t="str">
        <x:v>Standard pack</x:v>
      </x:c>
      <x:c r="I114" s="13" t="n">
        <x:v>250</x:v>
      </x:c>
      <x:c r="J114" s="14" t="n">
        <x:v>1479</x:v>
      </x:c>
      <x:c r="K114" s="11" t="n">
        <x:f>J114/I114</x:f>
        <x:v>5.916</x:v>
      </x:c>
      <x:c r="L114" s="13"/>
      <x:c r="M114" s="15" t="str">
        <x:f>IF(OR(L114="",L114=0),"",J114/(I114*L114/100))</x:f>
      </x:c>
      <x:c r="N114" s="15" t="str">
        <x:f>IF(M114="","",M114*3)</x:f>
      </x:c>
      <x:c r="O114" s="10"/>
      <x:c r="P114" s="10"/>
      <x:c r="Q114" s="10"/>
      <x:c r="R114" s="10"/>
      <x:c r="S114" s="3" t="str">
        <x:v>Sold out</x:v>
      </x:c>
      <x:c r="T114" s="12" t="d">
        <x:v>2026-10-25T00:00:00.000Z</x:v>
      </x:c>
      <x:c r="U114" s="3" t="str">
        <x:v>cr-108</x:v>
      </x:c>
      <x:c r="V114" s="3" t="str">
        <x:v>Creatine compound concentration not verified; compound cost omitted.</x:v>
      </x:c>
      <x:c r="W114" s="3"/>
      <x:c r="X114" s="3" t="str">
        <x:v>https://www.muscleblaze.com/sv/muscleblaze-creapro-creatine-with-creapure-powder-from-germany/SP-38004?navKey=VRNT-176700</x:v>
      </x:c>
      <x:c r="Y114" s="3" t="str">
        <x:v>https://www.muscleblaze.com/sv/muscleblaze-creapro-creatine-with-creapure-powder-from-germany/SP-38004?navKey=VRNT-176700</x:v>
      </x:c>
      <x:c r="Z114" s="3" t="str">
        <x:v>Creatine compound concentration not verified; compound cost omitted.</x:v>
      </x:c>
      <x:c r="AA114" s="3" t="str"/>
    </x:row>
    <x:row r="115" ht="44" customHeight="1">
      <x:c r="A115" s="3" t="str">
        <x:v>MuscleBlaze</x:v>
      </x:c>
      <x:c r="B115" s="3" t="str">
        <x:v>CreaPRO Creatine with Creapure® Powder from Germany</x:v>
      </x:c>
      <x:c r="C115" s="3" t="str">
        <x:v>Monohydrate</x:v>
      </x:c>
      <x:c r="D115" s="3" t="str">
        <x:v>Micronized</x:v>
      </x:c>
      <x:c r="E115" s="3" t="str">
        <x:v>Creapure®</x:v>
      </x:c>
      <x:c r="F115" s="3" t="str">
        <x:v>Not specified</x:v>
      </x:c>
      <x:c r="G115" s="3" t="str">
        <x:v>Tangy Orange</x:v>
      </x:c>
      <x:c r="H115" s="3" t="str">
        <x:v>Standard pack</x:v>
      </x:c>
      <x:c r="I115" s="13" t="n">
        <x:v>250</x:v>
      </x:c>
      <x:c r="J115" s="14" t="n">
        <x:v>2499</x:v>
      </x:c>
      <x:c r="K115" s="11" t="n">
        <x:f>J115/I115</x:f>
        <x:v>9.996</x:v>
      </x:c>
      <x:c r="L115" s="13" t="n">
        <x:v>75</x:v>
      </x:c>
      <x:c r="M115" s="15" t="n">
        <x:f>IF(OR(L115="",L115=0),"",J115/(I115*L115/100))</x:f>
        <x:v>13.328</x:v>
      </x:c>
      <x:c r="N115" s="15" t="n">
        <x:f>IF(M115="","",M115*3)</x:f>
        <x:v>39.983999999999995</x:v>
      </x:c>
      <x:c r="O115" s="10" t="n">
        <x:v>4</x:v>
      </x:c>
      <x:c r="P115" s="10" t="n">
        <x:v>4</x:v>
      </x:c>
      <x:c r="Q115" s="10" t="n">
        <x:v>3</x:v>
      </x:c>
      <x:c r="R115" s="10" t="n">
        <x:v>57</x:v>
      </x:c>
      <x:c r="S115" s="3" t="str">
        <x:v>In stock</x:v>
      </x:c>
      <x:c r="T115" s="12" t="d">
        <x:v>2026-10-25T00:00:00.000Z</x:v>
      </x:c>
      <x:c r="U115" s="3" t="str">
        <x:v>cr-109</x:v>
      </x:c>
      <x:c r="V115" s="3" t="str">
        <x:v>Selected variant table, explicit QTY./100g and QTY./SERVING columns.</x:v>
      </x:c>
      <x:c r="W115" s="3"/>
      <x:c r="X115" s="3" t="str">
        <x:v>https://www.muscleblaze.com/sv/muscleblaze-creapro-creatine-with-creapure-powder-from-germany/SP-38004?navKey=VRNT-120245</x:v>
      </x:c>
      <x:c r="Y115" s="3" t="str">
        <x:v>https://www.muscleblaze.com/sv/muscleblaze-creapro-creatine-with-creapure-powder-from-germany/SP-38004?navKey=VRNT-120245</x:v>
      </x:c>
      <x:c r="Z115" s="3" t="str">
        <x:v>Selected variant table, explicit QTY./100g and QTY./SERVING columns.</x:v>
      </x:c>
      <x:c r="AA115" s="3" t="str">
        <x:v>Selected variant nutrition table, Qty./100g column.</x:v>
      </x:c>
    </x:row>
    <x:row r="116" ht="44" customHeight="1">
      <x:c r="A116" s="3" t="str">
        <x:v>MuscleBlaze</x:v>
      </x:c>
      <x:c r="B116" s="3" t="str">
        <x:v>CreaPRO Creatine with Creapure® Powder from Germany</x:v>
      </x:c>
      <x:c r="C116" s="3" t="str">
        <x:v>Monohydrate</x:v>
      </x:c>
      <x:c r="D116" s="3" t="str">
        <x:v>Not specified</x:v>
      </x:c>
      <x:c r="E116" s="3" t="str">
        <x:v>Creapure®</x:v>
      </x:c>
      <x:c r="F116" s="3" t="str">
        <x:v>Not specified</x:v>
      </x:c>
      <x:c r="G116" s="3" t="str">
        <x:v>Unflavoured</x:v>
      </x:c>
      <x:c r="H116" s="3" t="str">
        <x:v>Standard pack</x:v>
      </x:c>
      <x:c r="I116" s="13" t="n">
        <x:v>100</x:v>
      </x:c>
      <x:c r="J116" s="14" t="n">
        <x:v>1299</x:v>
      </x:c>
      <x:c r="K116" s="11" t="n">
        <x:f>J116/I116</x:f>
        <x:v>12.99</x:v>
      </x:c>
      <x:c r="L116" s="13" t="n">
        <x:v>100</x:v>
      </x:c>
      <x:c r="M116" s="15" t="n">
        <x:f>IF(OR(L116="",L116=0),"",J116/(I116*L116/100))</x:f>
        <x:v>12.99</x:v>
      </x:c>
      <x:c r="N116" s="15" t="n">
        <x:f>IF(M116="","",M116*3)</x:f>
        <x:v>38.97</x:v>
      </x:c>
      <x:c r="O116" s="10" t="n">
        <x:v>3</x:v>
      </x:c>
      <x:c r="P116" s="10" t="n">
        <x:v>3</x:v>
      </x:c>
      <x:c r="Q116" s="10" t="n">
        <x:v>3</x:v>
      </x:c>
      <x:c r="R116" s="10"/>
      <x:c r="S116" s="3" t="str">
        <x:v>In stock</x:v>
      </x:c>
      <x:c r="T116" s="12" t="d">
        <x:v>2026-10-25T00:00:00.000Z</x:v>
      </x:c>
      <x:c r="U116" s="3" t="str">
        <x:v>cr-110</x:v>
      </x:c>
      <x:c r="V116" s="3" t="str">
        <x:v>Selected variant composition table: grams of monohydrate per scoop.</x:v>
      </x:c>
      <x:c r="W116" s="3"/>
      <x:c r="X116" s="3" t="str">
        <x:v>https://www.muscleblaze.com/sv/muscleblaze-creapro-creatine-with-creapure-powder-from-germany/SP-38004?navKey=VRNT-168473</x:v>
      </x:c>
      <x:c r="Y116" s="3" t="str">
        <x:v>https://www.muscleblaze.com/sv/muscleblaze-creapro-creatine-with-creapure-powder-from-germany/SP-38004?navKey=VRNT-168473</x:v>
      </x:c>
      <x:c r="Z116" s="3" t="str">
        <x:v>Selected variant composition table: grams of monohydrate per scoop.</x:v>
      </x:c>
      <x:c r="AA116" s="3" t="str"/>
    </x:row>
    <x:row r="117" ht="44" customHeight="1">
      <x:c r="A117" s="3" t="str">
        <x:v>MuscleBlaze</x:v>
      </x:c>
      <x:c r="B117" s="3" t="str">
        <x:v>CreaPRO Creatine with Creapure® Powder from Germany</x:v>
      </x:c>
      <x:c r="C117" s="3" t="str">
        <x:v>Monohydrate</x:v>
      </x:c>
      <x:c r="D117" s="3" t="str">
        <x:v>Micronized</x:v>
      </x:c>
      <x:c r="E117" s="3" t="str">
        <x:v>Creapure®</x:v>
      </x:c>
      <x:c r="F117" s="3" t="str">
        <x:v>Not specified</x:v>
      </x:c>
      <x:c r="G117" s="3" t="str">
        <x:v>Unflavoured</x:v>
      </x:c>
      <x:c r="H117" s="3" t="str">
        <x:v>Standard pack</x:v>
      </x:c>
      <x:c r="I117" s="13" t="n">
        <x:v>250</x:v>
      </x:c>
      <x:c r="J117" s="14" t="n">
        <x:v>2499</x:v>
      </x:c>
      <x:c r="K117" s="11" t="n">
        <x:f>J117/I117</x:f>
        <x:v>9.996</x:v>
      </x:c>
      <x:c r="L117" s="13" t="n">
        <x:v>100</x:v>
      </x:c>
      <x:c r="M117" s="15" t="n">
        <x:f>IF(OR(L117="",L117=0),"",J117/(I117*L117/100))</x:f>
        <x:v>9.996</x:v>
      </x:c>
      <x:c r="N117" s="15" t="n">
        <x:f>IF(M117="","",M117*3)</x:f>
        <x:v>29.988</x:v>
      </x:c>
      <x:c r="O117" s="10" t="n">
        <x:v>3</x:v>
      </x:c>
      <x:c r="P117" s="10" t="n">
        <x:v>3</x:v>
      </x:c>
      <x:c r="Q117" s="10" t="n">
        <x:v>3</x:v>
      </x:c>
      <x:c r="R117" s="10"/>
      <x:c r="S117" s="3" t="str">
        <x:v>In stock</x:v>
      </x:c>
      <x:c r="T117" s="12" t="d">
        <x:v>2026-10-25T00:00:00.000Z</x:v>
      </x:c>
      <x:c r="U117" s="3" t="str">
        <x:v>cr-111</x:v>
      </x:c>
      <x:c r="V117" s="3" t="str">
        <x:v>Selected variant composition table: grams of monohydrate per scoop.</x:v>
      </x:c>
      <x:c r="W117" s="3"/>
      <x:c r="X117" s="3" t="str">
        <x:v>https://www.muscleblaze.com/sv/muscleblaze-creapro-creatine-with-creapure-powder-from-germany/SP-38004?navKey=VRNT-74476</x:v>
      </x:c>
      <x:c r="Y117" s="3" t="str">
        <x:v>https://www.muscleblaze.com/sv/muscleblaze-creapro-creatine-with-creapure-powder-from-germany/SP-38004?navKey=VRNT-74476</x:v>
      </x:c>
      <x:c r="Z117" s="3" t="str">
        <x:v>Selected variant composition table: grams of monohydrate per scoop.</x:v>
      </x:c>
      <x:c r="AA117" s="3" t="str"/>
    </x:row>
    <x:row r="118" ht="44" customHeight="1">
      <x:c r="A118" s="3" t="str">
        <x:v>MuscleBlaze</x:v>
      </x:c>
      <x:c r="B118" s="3" t="str">
        <x:v>Creatine Monohydrate CreAMP</x:v>
      </x:c>
      <x:c r="C118" s="3" t="str">
        <x:v>Monohydrate</x:v>
      </x:c>
      <x:c r="D118" s="3" t="str">
        <x:v>Micronized</x:v>
      </x:c>
      <x:c r="E118" s="3" t="str">
        <x:v>Not specified</x:v>
      </x:c>
      <x:c r="F118" s="3" t="str">
        <x:v>With CreAbsorb</x:v>
      </x:c>
      <x:c r="G118" s="3" t="str">
        <x:v>Unflavoured</x:v>
      </x:c>
      <x:c r="H118" s="3" t="str">
        <x:v>Standard pack</x:v>
      </x:c>
      <x:c r="I118" s="13" t="n">
        <x:v>100</x:v>
      </x:c>
      <x:c r="J118" s="14" t="n">
        <x:v>549</x:v>
      </x:c>
      <x:c r="K118" s="11" t="n">
        <x:f>J118/I118</x:f>
        <x:v>5.49</x:v>
      </x:c>
      <x:c r="L118" s="13"/>
      <x:c r="M118" s="15" t="str">
        <x:f>IF(OR(L118="",L118=0),"",J118/(I118*L118/100))</x:f>
      </x:c>
      <x:c r="N118" s="15" t="str">
        <x:f>IF(M118="","",M118*3)</x:f>
      </x:c>
      <x:c r="O118" s="10"/>
      <x:c r="P118" s="10"/>
      <x:c r="Q118" s="10"/>
      <x:c r="R118" s="10"/>
      <x:c r="S118" s="3" t="str">
        <x:v>In stock</x:v>
      </x:c>
      <x:c r="T118" s="12" t="d">
        <x:v>2026-10-25T00:00:00.000Z</x:v>
      </x:c>
      <x:c r="U118" s="3" t="str">
        <x:v>cr-112</x:v>
      </x:c>
      <x:c r="V118" s="3" t="str">
        <x:v>Creatine compound concentration not verified; compound cost omitted.</x:v>
      </x:c>
      <x:c r="W118" s="3"/>
      <x:c r="X118" s="3" t="str">
        <x:v>https://www.muscleblaze.com/sv/muscleblaze-creatine-monohydrate/SP-33852</x:v>
      </x:c>
      <x:c r="Y118" s="3" t="str">
        <x:v>https://www.muscleblaze.com/sv/muscleblaze-creatine-monohydrate/SP-33852</x:v>
      </x:c>
      <x:c r="Z118" s="3" t="str">
        <x:v>Creatine compound concentration not verified; compound cost omitted.</x:v>
      </x:c>
      <x:c r="AA118" s="3" t="str"/>
    </x:row>
    <x:row r="119" ht="44" customHeight="1">
      <x:c r="A119" s="3" t="str">
        <x:v>MuscleBlaze</x:v>
      </x:c>
      <x:c r="B119" s="3" t="str">
        <x:v>Creatine Monohydrate CreAMP</x:v>
      </x:c>
      <x:c r="C119" s="3" t="str">
        <x:v>Monohydrate</x:v>
      </x:c>
      <x:c r="D119" s="3" t="str">
        <x:v>Micronized</x:v>
      </x:c>
      <x:c r="E119" s="3" t="str">
        <x:v>Not specified</x:v>
      </x:c>
      <x:c r="F119" s="3" t="str">
        <x:v>With CreAbsorb</x:v>
      </x:c>
      <x:c r="G119" s="3" t="str">
        <x:v>Unflavoured</x:v>
      </x:c>
      <x:c r="H119" s="3" t="str">
        <x:v>Standard pack</x:v>
      </x:c>
      <x:c r="I119" s="13" t="n">
        <x:v>250</x:v>
      </x:c>
      <x:c r="J119" s="14" t="n">
        <x:v>999</x:v>
      </x:c>
      <x:c r="K119" s="11" t="n">
        <x:f>J119/I119</x:f>
        <x:v>3.996</x:v>
      </x:c>
      <x:c r="L119" s="13" t="n">
        <x:v>96.77419354838709</x:v>
      </x:c>
      <x:c r="M119" s="15" t="n">
        <x:f>IF(OR(L119="",L119=0),"",J119/(I119*L119/100))</x:f>
        <x:v>4.129200000000001</x:v>
      </x:c>
      <x:c r="N119" s="15" t="n">
        <x:f>IF(M119="","",M119*3)</x:f>
        <x:v>12.387600000000003</x:v>
      </x:c>
      <x:c r="O119" s="10" t="n">
        <x:v>3.1</x:v>
      </x:c>
      <x:c r="P119" s="10" t="n">
        <x:v>3.1</x:v>
      </x:c>
      <x:c r="Q119" s="10" t="n">
        <x:v>3</x:v>
      </x:c>
      <x:c r="R119" s="10" t="n">
        <x:v>2.9</x:v>
      </x:c>
      <x:c r="S119" s="3" t="str">
        <x:v>In stock</x:v>
      </x:c>
      <x:c r="T119" s="12" t="d">
        <x:v>2026-10-25T00:00:00.000Z</x:v>
      </x:c>
      <x:c r="U119" s="3" t="str">
        <x:v>cr-113</x:v>
      </x:c>
      <x:c r="V119" s="3" t="str">
        <x:v>Selected variant composition table: grams of monohydrate per scoop.</x:v>
      </x:c>
      <x:c r="W119" s="3"/>
      <x:c r="X119" s="3" t="str">
        <x:v>https://www.muscleblaze.com/sv/muscleblaze-creatine-monohydrate-creamp/SP-33852?navKey=VRNT-74477</x:v>
      </x:c>
      <x:c r="Y119" s="3" t="str">
        <x:v>https://www.muscleblaze.com/sv/muscleblaze-creatine-monohydrate-creamp/SP-33852?navKey=VRNT-74477</x:v>
      </x:c>
      <x:c r="Z119" s="3" t="str">
        <x:v>Selected variant composition table: grams of monohydrate per scoop.</x:v>
      </x:c>
      <x:c r="AA119" s="3" t="str">
        <x:v>Selected variant nutrition table, Qty./100g column.</x:v>
      </x:c>
    </x:row>
    <x:row r="120" ht="44" customHeight="1">
      <x:c r="A120" s="3" t="str">
        <x:v>MuscleBlaze</x:v>
      </x:c>
      <x:c r="B120" s="3" t="str">
        <x:v>Creatine Monohydrate CreAMP</x:v>
      </x:c>
      <x:c r="C120" s="3" t="str">
        <x:v>Monohydrate</x:v>
      </x:c>
      <x:c r="D120" s="3" t="str">
        <x:v>Micronized</x:v>
      </x:c>
      <x:c r="E120" s="3" t="str">
        <x:v>Not specified</x:v>
      </x:c>
      <x:c r="F120" s="3" t="str">
        <x:v>With CreAbsorb</x:v>
      </x:c>
      <x:c r="G120" s="3" t="str">
        <x:v>Unflavoured</x:v>
      </x:c>
      <x:c r="H120" s="3" t="str">
        <x:v>Standard pack</x:v>
      </x:c>
      <x:c r="I120" s="13" t="n">
        <x:v>400</x:v>
      </x:c>
      <x:c r="J120" s="14" t="n">
        <x:v>1499</x:v>
      </x:c>
      <x:c r="K120" s="11" t="n">
        <x:f>J120/I120</x:f>
        <x:v>3.7475</x:v>
      </x:c>
      <x:c r="L120" s="13" t="n">
        <x:v>96.77419354838709</x:v>
      </x:c>
      <x:c r="M120" s="15" t="n">
        <x:f>IF(OR(L120="",L120=0),"",J120/(I120*L120/100))</x:f>
        <x:v>3.872416666666667</x:v>
      </x:c>
      <x:c r="N120" s="15" t="n">
        <x:f>IF(M120="","",M120*3)</x:f>
        <x:v>11.617250000000002</x:v>
      </x:c>
      <x:c r="O120" s="10" t="n">
        <x:v>3.1</x:v>
      </x:c>
      <x:c r="P120" s="10" t="n">
        <x:v>3.1</x:v>
      </x:c>
      <x:c r="Q120" s="10" t="n">
        <x:v>3</x:v>
      </x:c>
      <x:c r="R120" s="10" t="n">
        <x:v>2.9</x:v>
      </x:c>
      <x:c r="S120" s="3" t="str">
        <x:v>In stock</x:v>
      </x:c>
      <x:c r="T120" s="12" t="d">
        <x:v>2026-10-25T00:00:00.000Z</x:v>
      </x:c>
      <x:c r="U120" s="3" t="str">
        <x:v>cr-114</x:v>
      </x:c>
      <x:c r="V120" s="3" t="str">
        <x:v>Selected variant composition table: grams of monohydrate per scoop.</x:v>
      </x:c>
      <x:c r="W120" s="3"/>
      <x:c r="X120" s="3" t="str">
        <x:v>https://www.muscleblaze.com/sv/muscleblaze-creatine-monohydrate-creamp/SP-33852?navKey=VRNT-139937</x:v>
      </x:c>
      <x:c r="Y120" s="3" t="str">
        <x:v>https://www.muscleblaze.com/sv/muscleblaze-creatine-monohydrate-creamp/SP-33852?navKey=VRNT-139937</x:v>
      </x:c>
      <x:c r="Z120" s="3" t="str">
        <x:v>Selected variant composition table: grams of monohydrate per scoop.</x:v>
      </x:c>
      <x:c r="AA120" s="3" t="str">
        <x:v>Selected variant nutrition table, Qty./100g column.</x:v>
      </x:c>
    </x:row>
    <x:row r="121" ht="44" customHeight="1">
      <x:c r="A121" s="3" t="str">
        <x:v>MuscleBlaze</x:v>
      </x:c>
      <x:c r="B121" s="3" t="str">
        <x:v>Creatine Monohydrate CreAMP</x:v>
      </x:c>
      <x:c r="C121" s="3" t="str">
        <x:v>Monohydrate</x:v>
      </x:c>
      <x:c r="D121" s="3" t="str">
        <x:v>Micronized</x:v>
      </x:c>
      <x:c r="E121" s="3" t="str">
        <x:v>Not specified</x:v>
      </x:c>
      <x:c r="F121" s="3" t="str">
        <x:v>With CreAbsorb</x:v>
      </x:c>
      <x:c r="G121" s="3" t="str">
        <x:v>Watermelon Kool Aid</x:v>
      </x:c>
      <x:c r="H121" s="3" t="str">
        <x:v>Standard pack</x:v>
      </x:c>
      <x:c r="I121" s="13" t="n">
        <x:v>320</x:v>
      </x:c>
      <x:c r="J121" s="14" t="n">
        <x:v>999</x:v>
      </x:c>
      <x:c r="K121" s="11" t="n">
        <x:f>J121/I121</x:f>
        <x:v>3.121875</x:v>
      </x:c>
      <x:c r="L121" s="13" t="n">
        <x:v>75</x:v>
      </x:c>
      <x:c r="M121" s="15" t="n">
        <x:f>IF(OR(L121="",L121=0),"",J121/(I121*L121/100))</x:f>
        <x:v>4.1625</x:v>
      </x:c>
      <x:c r="N121" s="15" t="n">
        <x:f>IF(M121="","",M121*3)</x:f>
        <x:v>12.487499999999999</x:v>
      </x:c>
      <x:c r="O121" s="10" t="n">
        <x:v>4</x:v>
      </x:c>
      <x:c r="P121" s="10" t="n">
        <x:v>4</x:v>
      </x:c>
      <x:c r="Q121" s="10" t="n">
        <x:v>3</x:v>
      </x:c>
      <x:c r="R121" s="10" t="n">
        <x:v>48.07</x:v>
      </x:c>
      <x:c r="S121" s="3" t="str">
        <x:v>In stock</x:v>
      </x:c>
      <x:c r="T121" s="12" t="d">
        <x:v>2026-10-25T00:00:00.000Z</x:v>
      </x:c>
      <x:c r="U121" s="3" t="str">
        <x:v>cr-115</x:v>
      </x:c>
      <x:c r="V121" s="3" t="str">
        <x:v>Selected variant composition table: grams of monohydrate per scoop.</x:v>
      </x:c>
      <x:c r="W121" s="3"/>
      <x:c r="X121" s="3" t="str">
        <x:v>https://www.muscleblaze.com/sv/muscleblaze-creatine-monohydrate-creamp/SP-33852?navKey=VRNT-249881</x:v>
      </x:c>
      <x:c r="Y121" s="3" t="str">
        <x:v>https://www.muscleblaze.com/sv/muscleblaze-creatine-monohydrate-creamp/SP-33852?navKey=VRNT-249881</x:v>
      </x:c>
      <x:c r="Z121" s="3" t="str">
        <x:v>Selected variant composition table: grams of monohydrate per scoop.</x:v>
      </x:c>
      <x:c r="AA121" s="3" t="str">
        <x:v>Selected variant nutrition table, Qty./100g column.</x:v>
      </x:c>
    </x:row>
    <x:row r="122" ht="44" customHeight="1">
      <x:c r="A122" s="3" t="str">
        <x:v>MuscleBlaze</x:v>
      </x:c>
      <x:c r="B122" s="3" t="str">
        <x:v>Micronised Creatine Monohydrate</x:v>
      </x:c>
      <x:c r="C122" s="3" t="str">
        <x:v>Monohydrate</x:v>
      </x:c>
      <x:c r="D122" s="3" t="str">
        <x:v>Micronized</x:v>
      </x:c>
      <x:c r="E122" s="3" t="str">
        <x:v>Not specified</x:v>
      </x:c>
      <x:c r="F122" s="3" t="str">
        <x:v>Not specified</x:v>
      </x:c>
      <x:c r="G122" s="3" t="str">
        <x:v>Unflavoured</x:v>
      </x:c>
      <x:c r="H122" s="3" t="str">
        <x:v>Standard pack</x:v>
      </x:c>
      <x:c r="I122" s="13" t="n">
        <x:v>100</x:v>
      </x:c>
      <x:c r="J122" s="14" t="n">
        <x:v>579</x:v>
      </x:c>
      <x:c r="K122" s="11" t="n">
        <x:f>J122/I122</x:f>
        <x:v>5.79</x:v>
      </x:c>
      <x:c r="L122" s="13" t="n">
        <x:v>100</x:v>
      </x:c>
      <x:c r="M122" s="15" t="n">
        <x:f>IF(OR(L122="",L122=0),"",J122/(I122*L122/100))</x:f>
        <x:v>5.79</x:v>
      </x:c>
      <x:c r="N122" s="15" t="n">
        <x:f>IF(M122="","",M122*3)</x:f>
        <x:v>17.37</x:v>
      </x:c>
      <x:c r="O122" s="10" t="n">
        <x:v>3</x:v>
      </x:c>
      <x:c r="P122" s="10" t="n">
        <x:v>3</x:v>
      </x:c>
      <x:c r="Q122" s="10" t="n">
        <x:v>3</x:v>
      </x:c>
      <x:c r="R122" s="10"/>
      <x:c r="S122" s="3" t="str">
        <x:v>In stock</x:v>
      </x:c>
      <x:c r="T122" s="12" t="d">
        <x:v>2026-10-25T00:00:00.000Z</x:v>
      </x:c>
      <x:c r="U122" s="3" t="str">
        <x:v>cr-116</x:v>
      </x:c>
      <x:c r="V122" s="3" t="str">
        <x:v>Selected variant composition table: grams of monohydrate per scoop.</x:v>
      </x:c>
      <x:c r="W122" s="3"/>
      <x:c r="X122" s="3" t="str">
        <x:v>https://www.muscleblaze.com/sv/muscleblaze-micronised-creatine-monohydrate/SP-134811?navKey=VRNT-266177</x:v>
      </x:c>
      <x:c r="Y122" s="3" t="str">
        <x:v>https://www.muscleblaze.com/sv/muscleblaze-micronised-creatine-monohydrate/SP-134811?navKey=VRNT-266177</x:v>
      </x:c>
      <x:c r="Z122" s="3" t="str">
        <x:v>Selected variant composition table: grams of monohydrate per scoop.</x:v>
      </x:c>
      <x:c r="AA122" s="3" t="str"/>
    </x:row>
    <x:row r="123" ht="44" customHeight="1">
      <x:c r="A123" s="3" t="str">
        <x:v>MuscleBlaze</x:v>
      </x:c>
      <x:c r="B123" s="3" t="str">
        <x:v>Micronised Creatine Monohydrate</x:v>
      </x:c>
      <x:c r="C123" s="3" t="str">
        <x:v>Monohydrate</x:v>
      </x:c>
      <x:c r="D123" s="3" t="str">
        <x:v>Micronized</x:v>
      </x:c>
      <x:c r="E123" s="3" t="str">
        <x:v>Not specified</x:v>
      </x:c>
      <x:c r="F123" s="3" t="str">
        <x:v>Not specified</x:v>
      </x:c>
      <x:c r="G123" s="3" t="str">
        <x:v>Unflavoured</x:v>
      </x:c>
      <x:c r="H123" s="3" t="str">
        <x:v>Standard pack</x:v>
      </x:c>
      <x:c r="I123" s="13" t="n">
        <x:v>250</x:v>
      </x:c>
      <x:c r="J123" s="14" t="n">
        <x:v>999</x:v>
      </x:c>
      <x:c r="K123" s="11" t="n">
        <x:f>J123/I123</x:f>
        <x:v>3.996</x:v>
      </x:c>
      <x:c r="L123" s="13" t="n">
        <x:v>100</x:v>
      </x:c>
      <x:c r="M123" s="15" t="n">
        <x:f>IF(OR(L123="",L123=0),"",J123/(I123*L123/100))</x:f>
        <x:v>3.996</x:v>
      </x:c>
      <x:c r="N123" s="15" t="n">
        <x:f>IF(M123="","",M123*3)</x:f>
        <x:v>11.988</x:v>
      </x:c>
      <x:c r="O123" s="10" t="n">
        <x:v>3</x:v>
      </x:c>
      <x:c r="P123" s="10" t="n">
        <x:v>3</x:v>
      </x:c>
      <x:c r="Q123" s="10" t="n">
        <x:v>3</x:v>
      </x:c>
      <x:c r="R123" s="10"/>
      <x:c r="S123" s="3" t="str">
        <x:v>Sold out</x:v>
      </x:c>
      <x:c r="T123" s="12" t="d">
        <x:v>2026-10-25T00:00:00.000Z</x:v>
      </x:c>
      <x:c r="U123" s="3" t="str">
        <x:v>cr-117</x:v>
      </x:c>
      <x:c r="V123" s="3" t="str">
        <x:v>Selected variant composition table: grams of monohydrate per scoop.</x:v>
      </x:c>
      <x:c r="W123" s="3"/>
      <x:c r="X123" s="3" t="str">
        <x:v>https://www.muscleblaze.com/sv/muscleblaze-micronised-creatine-monohydrate/SP-134811?navKey=VRNT-266179</x:v>
      </x:c>
      <x:c r="Y123" s="3" t="str">
        <x:v>https://www.muscleblaze.com/sv/muscleblaze-micronised-creatine-monohydrate/SP-134811?navKey=VRNT-266179</x:v>
      </x:c>
      <x:c r="Z123" s="3" t="str">
        <x:v>Selected variant composition table: grams of monohydrate per scoop.</x:v>
      </x:c>
      <x:c r="AA123" s="3" t="str"/>
    </x:row>
    <x:row r="124" ht="44" customHeight="1">
      <x:c r="A124" s="3" t="str">
        <x:v>Myprotein</x:v>
      </x:c>
      <x:c r="B124" s="3" t="str">
        <x:v>Creapure® (Creatine Monohydrate)</x:v>
      </x:c>
      <x:c r="C124" s="3" t="str">
        <x:v>Monohydrate</x:v>
      </x:c>
      <x:c r="D124" s="3" t="str">
        <x:v>Micronized</x:v>
      </x:c>
      <x:c r="E124" s="3" t="str">
        <x:v>Creapure®</x:v>
      </x:c>
      <x:c r="F124" s="3" t="str">
        <x:v>Single ingredient</x:v>
      </x:c>
      <x:c r="G124" s="3" t="str">
        <x:v>Unflavoured</x:v>
      </x:c>
      <x:c r="H124" s="3" t="str">
        <x:v>Standard pack</x:v>
      </x:c>
      <x:c r="I124" s="13" t="n">
        <x:v>250</x:v>
      </x:c>
      <x:c r="J124" s="14" t="n">
        <x:v>1499</x:v>
      </x:c>
      <x:c r="K124" s="11" t="n">
        <x:f>J124/I124</x:f>
        <x:v>5.996</x:v>
      </x:c>
      <x:c r="L124" s="13" t="n">
        <x:v>100</x:v>
      </x:c>
      <x:c r="M124" s="15" t="n">
        <x:f>IF(OR(L124="",L124=0),"",J124/(I124*L124/100))</x:f>
        <x:v>5.996</x:v>
      </x:c>
      <x:c r="N124" s="15" t="n">
        <x:f>IF(M124="","",M124*3)</x:f>
        <x:v>17.988</x:v>
      </x:c>
      <x:c r="O124" s="10" t="n">
        <x:v>3</x:v>
      </x:c>
      <x:c r="P124" s="10" t="n">
        <x:v>3</x:v>
      </x:c>
      <x:c r="Q124" s="10" t="n">
        <x:v>3</x:v>
      </x:c>
      <x:c r="R124" s="10" t="n">
        <x:v>0</x:v>
      </x:c>
      <x:c r="S124" s="3" t="str">
        <x:v>In stock</x:v>
      </x:c>
      <x:c r="T124" s="12" t="d">
        <x:v>2026-10-25T00:00:00.000Z</x:v>
      </x:c>
      <x:c r="U124" s="3" t="str">
        <x:v>cr-118</x:v>
      </x:c>
      <x:c r="V124" s="3" t="str">
        <x:v>Selected variant ingredients: creatine monohydrate (100%). Table header says per 4g serving while serving heading says 3g; per100g quantity used independently, scoop uses heading.</x:v>
      </x:c>
      <x:c r="W124" s="3"/>
      <x:c r="X124" s="3" t="str">
        <x:v>https://www.myprotein.co.in/p/sports-nutrition/creapure-creatine-monohydrate/11654731/?variation=11654733</x:v>
      </x:c>
      <x:c r="Y124" s="3" t="str">
        <x:v>https://www.myprotein.co.in/p/sports-nutrition/creapure-creatine-monohydrate/11654731/?variation=11654733</x:v>
      </x:c>
      <x:c r="Z124" s="3" t="str">
        <x:v>Selected variant ingredients: creatine monohydrate (100%).</x:v>
      </x:c>
      <x:c r="AA124" s="3" t="str">
        <x:v>Selected variant nutrition table, Per 100g column.</x:v>
      </x:c>
    </x:row>
    <x:row r="125" ht="44" customHeight="1">
      <x:c r="A125" s="3" t="str">
        <x:v>Myprotein</x:v>
      </x:c>
      <x:c r="B125" s="3" t="str">
        <x:v>Creapure® (Creatine Monohydrate)</x:v>
      </x:c>
      <x:c r="C125" s="3" t="str">
        <x:v>Monohydrate</x:v>
      </x:c>
      <x:c r="D125" s="3" t="str">
        <x:v>Micronized</x:v>
      </x:c>
      <x:c r="E125" s="3" t="str">
        <x:v>Creapure®</x:v>
      </x:c>
      <x:c r="F125" s="3" t="str">
        <x:v>Single ingredient</x:v>
      </x:c>
      <x:c r="G125" s="3" t="str">
        <x:v>Unflavoured</x:v>
      </x:c>
      <x:c r="H125" s="3" t="str">
        <x:v>Standard pack</x:v>
      </x:c>
      <x:c r="I125" s="13" t="n">
        <x:v>500</x:v>
      </x:c>
      <x:c r="J125" s="14" t="n">
        <x:v>2499</x:v>
      </x:c>
      <x:c r="K125" s="11" t="n">
        <x:f>J125/I125</x:f>
        <x:v>4.998</x:v>
      </x:c>
      <x:c r="L125" s="13" t="n">
        <x:v>100</x:v>
      </x:c>
      <x:c r="M125" s="15" t="n">
        <x:f>IF(OR(L125="",L125=0),"",J125/(I125*L125/100))</x:f>
        <x:v>4.998</x:v>
      </x:c>
      <x:c r="N125" s="15" t="n">
        <x:f>IF(M125="","",M125*3)</x:f>
        <x:v>14.994</x:v>
      </x:c>
      <x:c r="O125" s="10" t="n">
        <x:v>3</x:v>
      </x:c>
      <x:c r="P125" s="10" t="n">
        <x:v>3</x:v>
      </x:c>
      <x:c r="Q125" s="10" t="n">
        <x:v>3</x:v>
      </x:c>
      <x:c r="R125" s="10" t="n">
        <x:v>0</x:v>
      </x:c>
      <x:c r="S125" s="3" t="str">
        <x:v>In stock</x:v>
      </x:c>
      <x:c r="T125" s="12" t="d">
        <x:v>2026-10-25T00:00:00.000Z</x:v>
      </x:c>
      <x:c r="U125" s="3" t="str">
        <x:v>cr-119</x:v>
      </x:c>
      <x:c r="V125" s="3" t="str">
        <x:v>Selected variant ingredients: creatine monohydrate (100%). Table header says per 4g serving while serving heading says 3g; per100g quantity used independently, scoop uses heading.</x:v>
      </x:c>
      <x:c r="W125" s="3"/>
      <x:c r="X125" s="3" t="str">
        <x:v>https://www.myprotein.co.in/p/sports-nutrition/creapure-creatine-monohydrate/11654731/?variation=11654732</x:v>
      </x:c>
      <x:c r="Y125" s="3" t="str">
        <x:v>https://www.myprotein.co.in/p/sports-nutrition/creapure-creatine-monohydrate/11654731/?variation=11654732</x:v>
      </x:c>
      <x:c r="Z125" s="3" t="str">
        <x:v>Selected variant ingredients: creatine monohydrate (100%).</x:v>
      </x:c>
      <x:c r="AA125" s="3" t="str">
        <x:v>Selected variant nutrition table, Per 100g column.</x:v>
      </x:c>
    </x:row>
    <x:row r="126" ht="44" customHeight="1">
      <x:c r="A126" s="3" t="str">
        <x:v>Myprotein</x:v>
      </x:c>
      <x:c r="B126" s="3" t="str">
        <x:v>Creatine Monohydrate Powder</x:v>
      </x:c>
      <x:c r="C126" s="3" t="str">
        <x:v>Monohydrate</x:v>
      </x:c>
      <x:c r="D126" s="3" t="str">
        <x:v>Not specified</x:v>
      </x:c>
      <x:c r="E126" s="3" t="str">
        <x:v>Not specified</x:v>
      </x:c>
      <x:c r="F126" s="3" t="str">
        <x:v>Flavoured</x:v>
      </x:c>
      <x:c r="G126" s="3" t="str">
        <x:v>Blue Raspberry</x:v>
      </x:c>
      <x:c r="H126" s="3" t="str">
        <x:v>Standard pack</x:v>
      </x:c>
      <x:c r="I126" s="13" t="n">
        <x:v>250</x:v>
      </x:c>
      <x:c r="J126" s="14" t="n">
        <x:v>599</x:v>
      </x:c>
      <x:c r="K126" s="11" t="n">
        <x:f>J126/I126</x:f>
        <x:v>2.396</x:v>
      </x:c>
      <x:c r="L126" s="13" t="n">
        <x:v>93.42</x:v>
      </x:c>
      <x:c r="M126" s="15" t="n">
        <x:f>IF(OR(L126="",L126=0),"",J126/(I126*L126/100))</x:f>
        <x:v>2.5647612930849926</x:v>
      </x:c>
      <x:c r="N126" s="15" t="n">
        <x:f>IF(M126="","",M126*3)</x:f>
        <x:v>7.694283879254978</x:v>
      </x:c>
      <x:c r="O126" s="10" t="n">
        <x:v>3.2</x:v>
      </x:c>
      <x:c r="P126" s="10" t="n">
        <x:v>3.2</x:v>
      </x:c>
      <x:c r="Q126" s="10" t="n">
        <x:v>3</x:v>
      </x:c>
      <x:c r="R126" s="10" t="n">
        <x:v>17</x:v>
      </x:c>
      <x:c r="S126" s="3" t="str">
        <x:v>In stock</x:v>
      </x:c>
      <x:c r="T126" s="12" t="d">
        <x:v>2026-10-25T00:00:00.000Z</x:v>
      </x:c>
      <x:c r="U126" s="3" t="str">
        <x:v>cr-120</x:v>
      </x:c>
      <x:c r="V126" s="3" t="str">
        <x:v>Flavour-selected table explicitly states monohydrate grams per 100g; label rounding retained.</x:v>
      </x:c>
      <x:c r="W126" s="3"/>
      <x:c r="X126" s="3" t="str">
        <x:v>https://www.myprotein.co.in/p/sports-nutrition/creatine-monohydrate-powder/11654670/?variation=15482779</x:v>
      </x:c>
      <x:c r="Y126" s="3" t="str">
        <x:v>https://www.myprotein.co.in/p/sports-nutrition/creatine-monohydrate-powder/11654670/?variation=15482779</x:v>
      </x:c>
      <x:c r="Z126" s="3" t="str">
        <x:v>Flavour-selected table explicitly states monohydrate grams per 100g; label rounding retained.</x:v>
      </x:c>
      <x:c r="AA126" s="3" t="str">
        <x:v>Selected variant nutrition table, Per 100g column.</x:v>
      </x:c>
    </x:row>
    <x:row r="127" ht="44" customHeight="1">
      <x:c r="A127" s="3" t="str">
        <x:v>Myprotein</x:v>
      </x:c>
      <x:c r="B127" s="3" t="str">
        <x:v>Creatine Monohydrate Powder</x:v>
      </x:c>
      <x:c r="C127" s="3" t="str">
        <x:v>Monohydrate</x:v>
      </x:c>
      <x:c r="D127" s="3" t="str">
        <x:v>Not specified</x:v>
      </x:c>
      <x:c r="E127" s="3" t="str">
        <x:v>Not specified</x:v>
      </x:c>
      <x:c r="F127" s="3" t="str">
        <x:v>Flavoured</x:v>
      </x:c>
      <x:c r="G127" s="3" t="str">
        <x:v>Blue Raspberry</x:v>
      </x:c>
      <x:c r="H127" s="3" t="str">
        <x:v>Standard pack</x:v>
      </x:c>
      <x:c r="I127" s="13" t="n">
        <x:v>500</x:v>
      </x:c>
      <x:c r="J127" s="14" t="n">
        <x:v>999</x:v>
      </x:c>
      <x:c r="K127" s="11" t="n">
        <x:f>J127/I127</x:f>
        <x:v>1.998</x:v>
      </x:c>
      <x:c r="L127" s="13" t="n">
        <x:v>93.42</x:v>
      </x:c>
      <x:c r="M127" s="15" t="n">
        <x:f>IF(OR(L127="",L127=0),"",J127/(I127*L127/100))</x:f>
        <x:v>2.138728323699422</x:v>
      </x:c>
      <x:c r="N127" s="15" t="n">
        <x:f>IF(M127="","",M127*3)</x:f>
        <x:v>6.416184971098266</x:v>
      </x:c>
      <x:c r="O127" s="10" t="n">
        <x:v>3.2</x:v>
      </x:c>
      <x:c r="P127" s="10" t="n">
        <x:v>3.2</x:v>
      </x:c>
      <x:c r="Q127" s="10" t="n">
        <x:v>3</x:v>
      </x:c>
      <x:c r="R127" s="10" t="n">
        <x:v>17</x:v>
      </x:c>
      <x:c r="S127" s="3" t="str">
        <x:v>In stock</x:v>
      </x:c>
      <x:c r="T127" s="12" t="d">
        <x:v>2026-10-25T00:00:00.000Z</x:v>
      </x:c>
      <x:c r="U127" s="3" t="str">
        <x:v>cr-121</x:v>
      </x:c>
      <x:c r="V127" s="3" t="str">
        <x:v>Flavour-selected table explicitly states monohydrate grams per 100g; label rounding retained.</x:v>
      </x:c>
      <x:c r="W127" s="3"/>
      <x:c r="X127" s="3" t="str">
        <x:v>https://www.myprotein.co.in/p/sports-nutrition/creatine-monohydrate-powder/11654670/?variation=15482784</x:v>
      </x:c>
      <x:c r="Y127" s="3" t="str">
        <x:v>https://www.myprotein.co.in/p/sports-nutrition/creatine-monohydrate-powder/11654670/?variation=15482784</x:v>
      </x:c>
      <x:c r="Z127" s="3" t="str">
        <x:v>Flavour-selected table explicitly states monohydrate grams per 100g; label rounding retained.</x:v>
      </x:c>
      <x:c r="AA127" s="3" t="str">
        <x:v>Selected variant nutrition table, Per 100g column.</x:v>
      </x:c>
    </x:row>
    <x:row r="128" ht="44" customHeight="1">
      <x:c r="A128" s="3" t="str">
        <x:v>Myprotein</x:v>
      </x:c>
      <x:c r="B128" s="3" t="str">
        <x:v>Creatine Monohydrate Powder</x:v>
      </x:c>
      <x:c r="C128" s="3" t="str">
        <x:v>Monohydrate</x:v>
      </x:c>
      <x:c r="D128" s="3" t="str">
        <x:v>Not specified</x:v>
      </x:c>
      <x:c r="E128" s="3" t="str">
        <x:v>Not specified</x:v>
      </x:c>
      <x:c r="F128" s="3" t="str">
        <x:v>Flavoured</x:v>
      </x:c>
      <x:c r="G128" s="3" t="str">
        <x:v>Nimbu Pani</x:v>
      </x:c>
      <x:c r="H128" s="3" t="str">
        <x:v>Standard pack</x:v>
      </x:c>
      <x:c r="I128" s="13" t="n">
        <x:v>250</x:v>
      </x:c>
      <x:c r="J128" s="14" t="n">
        <x:v>599</x:v>
      </x:c>
      <x:c r="K128" s="11" t="n">
        <x:f>J128/I128</x:f>
        <x:v>2.396</x:v>
      </x:c>
      <x:c r="L128" s="13" t="n">
        <x:v>97</x:v>
      </x:c>
      <x:c r="M128" s="15" t="n">
        <x:f>IF(OR(L128="",L128=0),"",J128/(I128*L128/100))</x:f>
        <x:v>2.4701030927835053</x:v>
      </x:c>
      <x:c r="N128" s="15" t="n">
        <x:f>IF(M128="","",M128*3)</x:f>
        <x:v>7.410309278350516</x:v>
      </x:c>
      <x:c r="O128" s="10" t="n">
        <x:v>3.1</x:v>
      </x:c>
      <x:c r="P128" s="10" t="n">
        <x:v>3.1</x:v>
      </x:c>
      <x:c r="Q128" s="10" t="n">
        <x:v>3</x:v>
      </x:c>
      <x:c r="R128" s="10" t="n">
        <x:v>8</x:v>
      </x:c>
      <x:c r="S128" s="3" t="str">
        <x:v>In stock</x:v>
      </x:c>
      <x:c r="T128" s="12" t="d">
        <x:v>2026-10-25T00:00:00.000Z</x:v>
      </x:c>
      <x:c r="U128" s="3" t="str">
        <x:v>cr-122</x:v>
      </x:c>
      <x:c r="V128" s="3" t="str">
        <x:v>Flavour-selected table explicitly states monohydrate grams per 100g; label rounding retained.</x:v>
      </x:c>
      <x:c r="W128" s="3"/>
      <x:c r="X128" s="3" t="str">
        <x:v>https://www.myprotein.co.in/p/sports-nutrition/creatine-monohydrate-powder/11654670/?variation=15482783</x:v>
      </x:c>
      <x:c r="Y128" s="3" t="str">
        <x:v>https://www.myprotein.co.in/p/sports-nutrition/creatine-monohydrate-powder/11654670/?variation=15482783</x:v>
      </x:c>
      <x:c r="Z128" s="3" t="str">
        <x:v>Flavour-selected table explicitly states monohydrate grams per 100g; label rounding retained.</x:v>
      </x:c>
      <x:c r="AA128" s="3" t="str">
        <x:v>Selected variant nutrition table, Per 100g column.</x:v>
      </x:c>
    </x:row>
    <x:row r="129" ht="44" customHeight="1">
      <x:c r="A129" s="3" t="str">
        <x:v>Myprotein</x:v>
      </x:c>
      <x:c r="B129" s="3" t="str">
        <x:v>Creatine Monohydrate Powder</x:v>
      </x:c>
      <x:c r="C129" s="3" t="str">
        <x:v>Monohydrate</x:v>
      </x:c>
      <x:c r="D129" s="3" t="str">
        <x:v>Not specified</x:v>
      </x:c>
      <x:c r="E129" s="3" t="str">
        <x:v>Not specified</x:v>
      </x:c>
      <x:c r="F129" s="3" t="str">
        <x:v>Flavoured</x:v>
      </x:c>
      <x:c r="G129" s="3" t="str">
        <x:v>Nimbu Pani</x:v>
      </x:c>
      <x:c r="H129" s="3" t="str">
        <x:v>Standard pack</x:v>
      </x:c>
      <x:c r="I129" s="13" t="n">
        <x:v>500</x:v>
      </x:c>
      <x:c r="J129" s="14" t="n">
        <x:v>999</x:v>
      </x:c>
      <x:c r="K129" s="11" t="n">
        <x:f>J129/I129</x:f>
        <x:v>1.998</x:v>
      </x:c>
      <x:c r="L129" s="13" t="n">
        <x:v>97</x:v>
      </x:c>
      <x:c r="M129" s="15" t="n">
        <x:f>IF(OR(L129="",L129=0),"",J129/(I129*L129/100))</x:f>
        <x:v>2.0597938144329895</x:v>
      </x:c>
      <x:c r="N129" s="15" t="n">
        <x:f>IF(M129="","",M129*3)</x:f>
        <x:v>6.179381443298968</x:v>
      </x:c>
      <x:c r="O129" s="10" t="n">
        <x:v>3.1</x:v>
      </x:c>
      <x:c r="P129" s="10" t="n">
        <x:v>3.1</x:v>
      </x:c>
      <x:c r="Q129" s="10" t="n">
        <x:v>3</x:v>
      </x:c>
      <x:c r="R129" s="10" t="n">
        <x:v>8</x:v>
      </x:c>
      <x:c r="S129" s="3" t="str">
        <x:v>In stock</x:v>
      </x:c>
      <x:c r="T129" s="12" t="d">
        <x:v>2026-10-25T00:00:00.000Z</x:v>
      </x:c>
      <x:c r="U129" s="3" t="str">
        <x:v>cr-123</x:v>
      </x:c>
      <x:c r="V129" s="3" t="str">
        <x:v>Flavour-selected table explicitly states monohydrate grams per 100g; label rounding retained.</x:v>
      </x:c>
      <x:c r="W129" s="3"/>
      <x:c r="X129" s="3" t="str">
        <x:v>https://www.myprotein.co.in/p/sports-nutrition/creatine-monohydrate-powder/11654670/?variation=15482777</x:v>
      </x:c>
      <x:c r="Y129" s="3" t="str">
        <x:v>https://www.myprotein.co.in/p/sports-nutrition/creatine-monohydrate-powder/11654670/?variation=15482777</x:v>
      </x:c>
      <x:c r="Z129" s="3" t="str">
        <x:v>Flavour-selected table explicitly states monohydrate grams per 100g; label rounding retained.</x:v>
      </x:c>
      <x:c r="AA129" s="3" t="str">
        <x:v>Selected variant nutrition table, Per 100g column.</x:v>
      </x:c>
    </x:row>
    <x:row r="130" ht="44" customHeight="1">
      <x:c r="A130" s="3" t="str">
        <x:v>Myprotein</x:v>
      </x:c>
      <x:c r="B130" s="3" t="str">
        <x:v>Creatine Monohydrate Powder</x:v>
      </x:c>
      <x:c r="C130" s="3" t="str">
        <x:v>Monohydrate</x:v>
      </x:c>
      <x:c r="D130" s="3" t="str">
        <x:v>Not specified</x:v>
      </x:c>
      <x:c r="E130" s="3" t="str">
        <x:v>Not specified</x:v>
      </x:c>
      <x:c r="F130" s="3" t="str">
        <x:v>Single ingredient</x:v>
      </x:c>
      <x:c r="G130" s="3" t="str">
        <x:v>Unflavoured</x:v>
      </x:c>
      <x:c r="H130" s="3" t="str">
        <x:v>Standard pack</x:v>
      </x:c>
      <x:c r="I130" s="13" t="n">
        <x:v>100</x:v>
      </x:c>
      <x:c r="J130" s="14" t="n">
        <x:v>299</x:v>
      </x:c>
      <x:c r="K130" s="11" t="n">
        <x:f>J130/I130</x:f>
        <x:v>2.99</x:v>
      </x:c>
      <x:c r="L130" s="13" t="n">
        <x:v>100</x:v>
      </x:c>
      <x:c r="M130" s="15" t="n">
        <x:f>IF(OR(L130="",L130=0),"",J130/(I130*L130/100))</x:f>
        <x:v>2.99</x:v>
      </x:c>
      <x:c r="N130" s="15" t="n">
        <x:f>IF(M130="","",M130*3)</x:f>
        <x:v>8.97</x:v>
      </x:c>
      <x:c r="O130" s="10" t="n">
        <x:v>3</x:v>
      </x:c>
      <x:c r="P130" s="10" t="n">
        <x:v>3</x:v>
      </x:c>
      <x:c r="Q130" s="10" t="n">
        <x:v>3</x:v>
      </x:c>
      <x:c r="R130" s="10"/>
      <x:c r="S130" s="3" t="str">
        <x:v>In stock</x:v>
      </x:c>
      <x:c r="T130" s="12" t="d">
        <x:v>2026-10-25T00:00:00.000Z</x:v>
      </x:c>
      <x:c r="U130" s="3" t="str">
        <x:v>cr-124</x:v>
      </x:c>
      <x:c r="V130" s="3" t="str">
        <x:v>Selected variant ingredients: creatine monohydrate (100%).</x:v>
      </x:c>
      <x:c r="W130" s="3"/>
      <x:c r="X130" s="3" t="str">
        <x:v>https://www.myprotein.co.in/p/sports-nutrition/creatine-monohydrate-powder/11654670/?variation=15491047</x:v>
      </x:c>
      <x:c r="Y130" s="3" t="str">
        <x:v>https://www.myprotein.co.in/p/sports-nutrition/creatine-monohydrate-powder/11654670/?variation=15491047</x:v>
      </x:c>
      <x:c r="Z130" s="3" t="str">
        <x:v>Selected variant ingredients: creatine monohydrate (100%).</x:v>
      </x:c>
      <x:c r="AA130" s="3" t="str"/>
    </x:row>
    <x:row r="131" ht="44" customHeight="1">
      <x:c r="A131" s="3" t="str">
        <x:v>Myprotein</x:v>
      </x:c>
      <x:c r="B131" s="3" t="str">
        <x:v>Creatine Monohydrate Powder</x:v>
      </x:c>
      <x:c r="C131" s="3" t="str">
        <x:v>Monohydrate</x:v>
      </x:c>
      <x:c r="D131" s="3" t="str">
        <x:v>Not specified</x:v>
      </x:c>
      <x:c r="E131" s="3" t="str">
        <x:v>Not specified</x:v>
      </x:c>
      <x:c r="F131" s="3" t="str">
        <x:v>Single ingredient</x:v>
      </x:c>
      <x:c r="G131" s="3" t="str">
        <x:v>Unflavoured</x:v>
      </x:c>
      <x:c r="H131" s="3" t="str">
        <x:v>Standard pack</x:v>
      </x:c>
      <x:c r="I131" s="13" t="n">
        <x:v>250</x:v>
      </x:c>
      <x:c r="J131" s="14" t="n">
        <x:v>699</x:v>
      </x:c>
      <x:c r="K131" s="11" t="n">
        <x:f>J131/I131</x:f>
        <x:v>2.796</x:v>
      </x:c>
      <x:c r="L131" s="13" t="n">
        <x:v>100</x:v>
      </x:c>
      <x:c r="M131" s="15" t="n">
        <x:f>IF(OR(L131="",L131=0),"",J131/(I131*L131/100))</x:f>
        <x:v>2.796</x:v>
      </x:c>
      <x:c r="N131" s="15" t="n">
        <x:f>IF(M131="","",M131*3)</x:f>
        <x:v>8.388</x:v>
      </x:c>
      <x:c r="O131" s="10" t="n">
        <x:v>3</x:v>
      </x:c>
      <x:c r="P131" s="10" t="n">
        <x:v>3</x:v>
      </x:c>
      <x:c r="Q131" s="10" t="n">
        <x:v>3</x:v>
      </x:c>
      <x:c r="R131" s="10"/>
      <x:c r="S131" s="3" t="str">
        <x:v>In stock</x:v>
      </x:c>
      <x:c r="T131" s="12" t="d">
        <x:v>2026-10-25T00:00:00.000Z</x:v>
      </x:c>
      <x:c r="U131" s="3" t="str">
        <x:v>cr-125</x:v>
      </x:c>
      <x:c r="V131" s="3" t="str">
        <x:v>Selected variant ingredients: creatine monohydrate (100%).</x:v>
      </x:c>
      <x:c r="W131" s="3"/>
      <x:c r="X131" s="3" t="str">
        <x:v>https://www.myprotein.co.in/p/sports-nutrition/creatine-monohydrate-powder/11654670/?variation=15393771</x:v>
      </x:c>
      <x:c r="Y131" s="3" t="str">
        <x:v>https://www.myprotein.co.in/p/sports-nutrition/creatine-monohydrate-powder/11654670/?variation=15393771</x:v>
      </x:c>
      <x:c r="Z131" s="3" t="str">
        <x:v>Selected variant ingredients: creatine monohydrate (100%).</x:v>
      </x:c>
      <x:c r="AA131" s="3" t="str"/>
    </x:row>
    <x:row r="132" ht="44" customHeight="1">
      <x:c r="A132" s="3" t="str">
        <x:v>NAKPRO</x:v>
      </x:c>
      <x:c r="B132" s="3" t="str">
        <x:v>Nakpro Micronized Creatine Monohydrate</x:v>
      </x:c>
      <x:c r="C132" s="3" t="str">
        <x:v>Monohydrate</x:v>
      </x:c>
      <x:c r="D132" s="3" t="str">
        <x:v>Micronized</x:v>
      </x:c>
      <x:c r="E132" s="3" t="str">
        <x:v>Not specified</x:v>
      </x:c>
      <x:c r="F132" s="3" t="str">
        <x:v>Flavoured</x:v>
      </x:c>
      <x:c r="G132" s="3" t="str">
        <x:v>Blueberry</x:v>
      </x:c>
      <x:c r="H132" s="3" t="str">
        <x:v>Jar</x:v>
      </x:c>
      <x:c r="I132" s="13" t="n">
        <x:v>100</x:v>
      </x:c>
      <x:c r="J132" s="14" t="n">
        <x:v>285</x:v>
      </x:c>
      <x:c r="K132" s="11" t="n">
        <x:f>J132/I132</x:f>
        <x:v>2.85</x:v>
      </x:c>
      <x:c r="L132" s="13"/>
      <x:c r="M132" s="15" t="str">
        <x:f>IF(OR(L132="",L132=0),"",J132/(I132*L132/100))</x:f>
      </x:c>
      <x:c r="N132" s="15" t="str">
        <x:f>IF(M132="","",M132*3)</x:f>
      </x:c>
      <x:c r="O132" s="10"/>
      <x:c r="P132" s="10"/>
      <x:c r="Q132" s="10"/>
      <x:c r="R132" s="10"/>
      <x:c r="S132" s="3" t="str">
        <x:v>In stock</x:v>
      </x:c>
      <x:c r="T132" s="12" t="d">
        <x:v>2026-10-25T00:00:00.000Z</x:v>
      </x:c>
      <x:c r="U132" s="3" t="str">
        <x:v>cr-126</x:v>
      </x:c>
      <x:c r="V132" s="3" t="str">
        <x:v>Creatine compound concentration not verified; compound cost omitted.</x:v>
      </x:c>
      <x:c r="W132" s="3"/>
      <x:c r="X132" s="3" t="str">
        <x:v>https://nakpro.com/products/nakpro-creatine-monohydrate?variant=40466978439248</x:v>
      </x:c>
      <x:c r="Y132" s="3" t="str">
        <x:v>https://nakpro.com/products/nakpro-creatine-monohydrate?variant=40466978439248</x:v>
      </x:c>
      <x:c r="Z132" s="3" t="str">
        <x:v>Creatine compound concentration not verified; compound cost omitted.</x:v>
      </x:c>
      <x:c r="AA132" s="3" t="str"/>
    </x:row>
    <x:row r="133" ht="44" customHeight="1">
      <x:c r="A133" s="3" t="str">
        <x:v>NAKPRO</x:v>
      </x:c>
      <x:c r="B133" s="3" t="str">
        <x:v>Nakpro Micronized Creatine Monohydrate</x:v>
      </x:c>
      <x:c r="C133" s="3" t="str">
        <x:v>Monohydrate</x:v>
      </x:c>
      <x:c r="D133" s="3" t="str">
        <x:v>Micronized</x:v>
      </x:c>
      <x:c r="E133" s="3" t="str">
        <x:v>Not specified</x:v>
      </x:c>
      <x:c r="F133" s="3" t="str">
        <x:v>Flavoured</x:v>
      </x:c>
      <x:c r="G133" s="3" t="str">
        <x:v>Blueberry</x:v>
      </x:c>
      <x:c r="H133" s="3" t="str">
        <x:v>Jar</x:v>
      </x:c>
      <x:c r="I133" s="13" t="n">
        <x:v>250</x:v>
      </x:c>
      <x:c r="J133" s="14" t="n">
        <x:v>513</x:v>
      </x:c>
      <x:c r="K133" s="11" t="n">
        <x:f>J133/I133</x:f>
        <x:v>2.052</x:v>
      </x:c>
      <x:c r="L133" s="13"/>
      <x:c r="M133" s="15" t="str">
        <x:f>IF(OR(L133="",L133=0),"",J133/(I133*L133/100))</x:f>
      </x:c>
      <x:c r="N133" s="15" t="str">
        <x:f>IF(M133="","",M133*3)</x:f>
      </x:c>
      <x:c r="O133" s="10"/>
      <x:c r="P133" s="10"/>
      <x:c r="Q133" s="10"/>
      <x:c r="R133" s="10"/>
      <x:c r="S133" s="3" t="str">
        <x:v>In stock</x:v>
      </x:c>
      <x:c r="T133" s="12" t="d">
        <x:v>2026-10-25T00:00:00.000Z</x:v>
      </x:c>
      <x:c r="U133" s="3" t="str">
        <x:v>cr-127</x:v>
      </x:c>
      <x:c r="V133" s="3" t="str">
        <x:v>Creatine compound concentration not verified; compound cost omitted.</x:v>
      </x:c>
      <x:c r="W133" s="3"/>
      <x:c r="X133" s="3" t="str">
        <x:v>https://nakpro.com/products/nakpro-creatine-monohydrate?variant=40291104882768</x:v>
      </x:c>
      <x:c r="Y133" s="3" t="str">
        <x:v>https://nakpro.com/products/nakpro-creatine-monohydrate?variant=40291104882768</x:v>
      </x:c>
      <x:c r="Z133" s="3" t="str">
        <x:v>Creatine compound concentration not verified; compound cost omitted.</x:v>
      </x:c>
      <x:c r="AA133" s="3" t="str"/>
    </x:row>
    <x:row r="134" ht="44" customHeight="1">
      <x:c r="A134" s="3" t="str">
        <x:v>NAKPRO</x:v>
      </x:c>
      <x:c r="B134" s="3" t="str">
        <x:v>Nakpro Micronized Creatine Monohydrate</x:v>
      </x:c>
      <x:c r="C134" s="3" t="str">
        <x:v>Monohydrate</x:v>
      </x:c>
      <x:c r="D134" s="3" t="str">
        <x:v>Micronized</x:v>
      </x:c>
      <x:c r="E134" s="3" t="str">
        <x:v>Not specified</x:v>
      </x:c>
      <x:c r="F134" s="3" t="str">
        <x:v>Flavoured</x:v>
      </x:c>
      <x:c r="G134" s="3" t="str">
        <x:v>Blueberry</x:v>
      </x:c>
      <x:c r="H134" s="3" t="str">
        <x:v>Standard pack</x:v>
      </x:c>
      <x:c r="I134" s="13" t="n">
        <x:v>100</x:v>
      </x:c>
      <x:c r="J134" s="14" t="n">
        <x:v>265</x:v>
      </x:c>
      <x:c r="K134" s="11" t="n">
        <x:f>J134/I134</x:f>
        <x:v>2.65</x:v>
      </x:c>
      <x:c r="L134" s="13"/>
      <x:c r="M134" s="15" t="str">
        <x:f>IF(OR(L134="",L134=0),"",J134/(I134*L134/100))</x:f>
      </x:c>
      <x:c r="N134" s="15" t="str">
        <x:f>IF(M134="","",M134*3)</x:f>
      </x:c>
      <x:c r="O134" s="10"/>
      <x:c r="P134" s="10"/>
      <x:c r="Q134" s="10"/>
      <x:c r="R134" s="10"/>
      <x:c r="S134" s="3" t="str">
        <x:v>In stock</x:v>
      </x:c>
      <x:c r="T134" s="12" t="d">
        <x:v>2026-10-25T00:00:00.000Z</x:v>
      </x:c>
      <x:c r="U134" s="3" t="str">
        <x:v>cr-128</x:v>
      </x:c>
      <x:c r="V134" s="3" t="str">
        <x:v>Creatine compound concentration not verified; compound cost omitted.</x:v>
      </x:c>
      <x:c r="W134" s="3"/>
      <x:c r="X134" s="3" t="str">
        <x:v>https://nakpro.com/products/nakpro-creatine-monohydrate?variant=40133888671824</x:v>
      </x:c>
      <x:c r="Y134" s="3" t="str">
        <x:v>https://nakpro.com/products/nakpro-creatine-monohydrate?variant=40133888671824</x:v>
      </x:c>
      <x:c r="Z134" s="3" t="str">
        <x:v>Creatine compound concentration not verified; compound cost omitted.</x:v>
      </x:c>
      <x:c r="AA134" s="3" t="str"/>
    </x:row>
    <x:row r="135" ht="44" customHeight="1">
      <x:c r="A135" s="3" t="str">
        <x:v>NAKPRO</x:v>
      </x:c>
      <x:c r="B135" s="3" t="str">
        <x:v>Nakpro Micronized Creatine Monohydrate</x:v>
      </x:c>
      <x:c r="C135" s="3" t="str">
        <x:v>Monohydrate</x:v>
      </x:c>
      <x:c r="D135" s="3" t="str">
        <x:v>Micronized</x:v>
      </x:c>
      <x:c r="E135" s="3" t="str">
        <x:v>Not specified</x:v>
      </x:c>
      <x:c r="F135" s="3" t="str">
        <x:v>Flavoured</x:v>
      </x:c>
      <x:c r="G135" s="3" t="str">
        <x:v>Blueberry</x:v>
      </x:c>
      <x:c r="H135" s="3" t="str">
        <x:v>Standard pack</x:v>
      </x:c>
      <x:c r="I135" s="13" t="n">
        <x:v>250</x:v>
      </x:c>
      <x:c r="J135" s="14" t="n">
        <x:v>493</x:v>
      </x:c>
      <x:c r="K135" s="11" t="n">
        <x:f>J135/I135</x:f>
        <x:v>1.972</x:v>
      </x:c>
      <x:c r="L135" s="13"/>
      <x:c r="M135" s="15" t="str">
        <x:f>IF(OR(L135="",L135=0),"",J135/(I135*L135/100))</x:f>
      </x:c>
      <x:c r="N135" s="15" t="str">
        <x:f>IF(M135="","",M135*3)</x:f>
      </x:c>
      <x:c r="O135" s="10"/>
      <x:c r="P135" s="10"/>
      <x:c r="Q135" s="10"/>
      <x:c r="R135" s="10"/>
      <x:c r="S135" s="3" t="str">
        <x:v>In stock</x:v>
      </x:c>
      <x:c r="T135" s="12" t="d">
        <x:v>2026-10-25T00:00:00.000Z</x:v>
      </x:c>
      <x:c r="U135" s="3" t="str">
        <x:v>cr-129</x:v>
      </x:c>
      <x:c r="V135" s="3" t="str">
        <x:v>Creatine compound concentration not verified; compound cost omitted.</x:v>
      </x:c>
      <x:c r="W135" s="3"/>
      <x:c r="X135" s="3" t="str">
        <x:v>https://nakpro.com/products/nakpro-creatine-monohydrate?variant=39995516387408</x:v>
      </x:c>
      <x:c r="Y135" s="3" t="str">
        <x:v>https://nakpro.com/products/nakpro-creatine-monohydrate?variant=39995516387408</x:v>
      </x:c>
      <x:c r="Z135" s="3" t="str">
        <x:v>Creatine compound concentration not verified; compound cost omitted.</x:v>
      </x:c>
      <x:c r="AA135" s="3" t="str"/>
    </x:row>
    <x:row r="136" ht="44" customHeight="1">
      <x:c r="A136" s="3" t="str">
        <x:v>NAKPRO</x:v>
      </x:c>
      <x:c r="B136" s="3" t="str">
        <x:v>Nakpro Micronized Creatine Monohydrate</x:v>
      </x:c>
      <x:c r="C136" s="3" t="str">
        <x:v>Monohydrate</x:v>
      </x:c>
      <x:c r="D136" s="3" t="str">
        <x:v>Micronized</x:v>
      </x:c>
      <x:c r="E136" s="3" t="str">
        <x:v>Not specified</x:v>
      </x:c>
      <x:c r="F136" s="3" t="str">
        <x:v>Flavoured</x:v>
      </x:c>
      <x:c r="G136" s="3" t="str">
        <x:v>Blueberry</x:v>
      </x:c>
      <x:c r="H136" s="3" t="str">
        <x:v>Standard pack</x:v>
      </x:c>
      <x:c r="I136" s="13" t="n">
        <x:v>400</x:v>
      </x:c>
      <x:c r="J136" s="14" t="n">
        <x:v>860</x:v>
      </x:c>
      <x:c r="K136" s="11" t="n">
        <x:f>J136/I136</x:f>
        <x:v>2.15</x:v>
      </x:c>
      <x:c r="L136" s="13"/>
      <x:c r="M136" s="15" t="str">
        <x:f>IF(OR(L136="",L136=0),"",J136/(I136*L136/100))</x:f>
      </x:c>
      <x:c r="N136" s="15" t="str">
        <x:f>IF(M136="","",M136*3)</x:f>
      </x:c>
      <x:c r="O136" s="10"/>
      <x:c r="P136" s="10"/>
      <x:c r="Q136" s="10"/>
      <x:c r="R136" s="10"/>
      <x:c r="S136" s="3" t="str">
        <x:v>In stock</x:v>
      </x:c>
      <x:c r="T136" s="12" t="d">
        <x:v>2026-10-25T00:00:00.000Z</x:v>
      </x:c>
      <x:c r="U136" s="3" t="str">
        <x:v>cr-130</x:v>
      </x:c>
      <x:c r="V136" s="3" t="str">
        <x:v>Creatine compound concentration not verified; compound cost omitted.</x:v>
      </x:c>
      <x:c r="W136" s="3"/>
      <x:c r="X136" s="3" t="str">
        <x:v>https://nakpro.com/products/nakpro-creatine-monohydrate?variant=39995516321872</x:v>
      </x:c>
      <x:c r="Y136" s="3" t="str">
        <x:v>https://nakpro.com/products/nakpro-creatine-monohydrate?variant=39995516321872</x:v>
      </x:c>
      <x:c r="Z136" s="3" t="str">
        <x:v>Creatine compound concentration not verified; compound cost omitted.</x:v>
      </x:c>
      <x:c r="AA136" s="3" t="str"/>
    </x:row>
    <x:row r="137" ht="44" customHeight="1">
      <x:c r="A137" s="3" t="str">
        <x:v>NAKPRO</x:v>
      </x:c>
      <x:c r="B137" s="3" t="str">
        <x:v>Nakpro Micronized Creatine Monohydrate</x:v>
      </x:c>
      <x:c r="C137" s="3" t="str">
        <x:v>Monohydrate</x:v>
      </x:c>
      <x:c r="D137" s="3" t="str">
        <x:v>Micronized</x:v>
      </x:c>
      <x:c r="E137" s="3" t="str">
        <x:v>Not specified</x:v>
      </x:c>
      <x:c r="F137" s="3" t="str">
        <x:v>Flavoured</x:v>
      </x:c>
      <x:c r="G137" s="3" t="str">
        <x:v>Fruit Punch</x:v>
      </x:c>
      <x:c r="H137" s="3" t="str">
        <x:v>Jar</x:v>
      </x:c>
      <x:c r="I137" s="13" t="n">
        <x:v>100</x:v>
      </x:c>
      <x:c r="J137" s="14" t="n">
        <x:v>285</x:v>
      </x:c>
      <x:c r="K137" s="11" t="n">
        <x:f>J137/I137</x:f>
        <x:v>2.85</x:v>
      </x:c>
      <x:c r="L137" s="13"/>
      <x:c r="M137" s="15" t="str">
        <x:f>IF(OR(L137="",L137=0),"",J137/(I137*L137/100))</x:f>
      </x:c>
      <x:c r="N137" s="15" t="str">
        <x:f>IF(M137="","",M137*3)</x:f>
      </x:c>
      <x:c r="O137" s="10"/>
      <x:c r="P137" s="10"/>
      <x:c r="Q137" s="10"/>
      <x:c r="R137" s="10"/>
      <x:c r="S137" s="3" t="str">
        <x:v>In stock</x:v>
      </x:c>
      <x:c r="T137" s="12" t="d">
        <x:v>2026-10-25T00:00:00.000Z</x:v>
      </x:c>
      <x:c r="U137" s="3" t="str">
        <x:v>cr-131</x:v>
      </x:c>
      <x:c r="V137" s="3" t="str">
        <x:v>Creatine compound concentration not verified; compound cost omitted.</x:v>
      </x:c>
      <x:c r="W137" s="3"/>
      <x:c r="X137" s="3" t="str">
        <x:v>https://nakpro.com/products/nakpro-creatine-monohydrate?variant=40466978472016</x:v>
      </x:c>
      <x:c r="Y137" s="3" t="str">
        <x:v>https://nakpro.com/products/nakpro-creatine-monohydrate?variant=40466978472016</x:v>
      </x:c>
      <x:c r="Z137" s="3" t="str">
        <x:v>Creatine compound concentration not verified; compound cost omitted.</x:v>
      </x:c>
      <x:c r="AA137" s="3" t="str"/>
    </x:row>
    <x:row r="138" ht="44" customHeight="1">
      <x:c r="A138" s="3" t="str">
        <x:v>NAKPRO</x:v>
      </x:c>
      <x:c r="B138" s="3" t="str">
        <x:v>Nakpro Micronized Creatine Monohydrate</x:v>
      </x:c>
      <x:c r="C138" s="3" t="str">
        <x:v>Monohydrate</x:v>
      </x:c>
      <x:c r="D138" s="3" t="str">
        <x:v>Micronized</x:v>
      </x:c>
      <x:c r="E138" s="3" t="str">
        <x:v>Not specified</x:v>
      </x:c>
      <x:c r="F138" s="3" t="str">
        <x:v>Flavoured</x:v>
      </x:c>
      <x:c r="G138" s="3" t="str">
        <x:v>Fruit Punch</x:v>
      </x:c>
      <x:c r="H138" s="3" t="str">
        <x:v>Jar</x:v>
      </x:c>
      <x:c r="I138" s="13" t="n">
        <x:v>150</x:v>
      </x:c>
      <x:c r="J138" s="14" t="n">
        <x:v>278</x:v>
      </x:c>
      <x:c r="K138" s="11" t="n">
        <x:f>J138/I138</x:f>
        <x:v>1.8533333333333333</x:v>
      </x:c>
      <x:c r="L138" s="13"/>
      <x:c r="M138" s="15" t="str">
        <x:f>IF(OR(L138="",L138=0),"",J138/(I138*L138/100))</x:f>
      </x:c>
      <x:c r="N138" s="15" t="str">
        <x:f>IF(M138="","",M138*3)</x:f>
      </x:c>
      <x:c r="O138" s="10"/>
      <x:c r="P138" s="10"/>
      <x:c r="Q138" s="10"/>
      <x:c r="R138" s="10"/>
      <x:c r="S138" s="3" t="str">
        <x:v>Sold out</x:v>
      </x:c>
      <x:c r="T138" s="12" t="d">
        <x:v>2026-10-25T00:00:00.000Z</x:v>
      </x:c>
      <x:c r="U138" s="3" t="str">
        <x:v>cr-132</x:v>
      </x:c>
      <x:c r="V138" s="3" t="str">
        <x:v>Creatine compound concentration not verified; compound cost omitted.</x:v>
      </x:c>
      <x:c r="W138" s="3"/>
      <x:c r="X138" s="3" t="str">
        <x:v>https://nakpro.com/products/nakpro-creatine-monohydrate?variant=40861314515024</x:v>
      </x:c>
      <x:c r="Y138" s="3" t="str">
        <x:v>https://nakpro.com/products/nakpro-creatine-monohydrate?variant=40861314515024</x:v>
      </x:c>
      <x:c r="Z138" s="3" t="str">
        <x:v>Creatine compound concentration not verified; compound cost omitted.</x:v>
      </x:c>
      <x:c r="AA138" s="3" t="str"/>
    </x:row>
    <x:row r="139" ht="44" customHeight="1">
      <x:c r="A139" s="3" t="str">
        <x:v>NAKPRO</x:v>
      </x:c>
      <x:c r="B139" s="3" t="str">
        <x:v>Nakpro Micronized Creatine Monohydrate</x:v>
      </x:c>
      <x:c r="C139" s="3" t="str">
        <x:v>Monohydrate</x:v>
      </x:c>
      <x:c r="D139" s="3" t="str">
        <x:v>Micronized</x:v>
      </x:c>
      <x:c r="E139" s="3" t="str">
        <x:v>Not specified</x:v>
      </x:c>
      <x:c r="F139" s="3" t="str">
        <x:v>Flavoured</x:v>
      </x:c>
      <x:c r="G139" s="3" t="str">
        <x:v>Fruit Punch</x:v>
      </x:c>
      <x:c r="H139" s="3" t="str">
        <x:v>Jar</x:v>
      </x:c>
      <x:c r="I139" s="13" t="n">
        <x:v>250</x:v>
      </x:c>
      <x:c r="J139" s="14" t="n">
        <x:v>513</x:v>
      </x:c>
      <x:c r="K139" s="11" t="n">
        <x:f>J139/I139</x:f>
        <x:v>2.052</x:v>
      </x:c>
      <x:c r="L139" s="13"/>
      <x:c r="M139" s="15" t="str">
        <x:f>IF(OR(L139="",L139=0),"",J139/(I139*L139/100))</x:f>
      </x:c>
      <x:c r="N139" s="15" t="str">
        <x:f>IF(M139="","",M139*3)</x:f>
      </x:c>
      <x:c r="O139" s="10"/>
      <x:c r="P139" s="10"/>
      <x:c r="Q139" s="10"/>
      <x:c r="R139" s="10"/>
      <x:c r="S139" s="3" t="str">
        <x:v>In stock</x:v>
      </x:c>
      <x:c r="T139" s="12" t="d">
        <x:v>2026-10-25T00:00:00.000Z</x:v>
      </x:c>
      <x:c r="U139" s="3" t="str">
        <x:v>cr-133</x:v>
      </x:c>
      <x:c r="V139" s="3" t="str">
        <x:v>Creatine compound concentration not verified; compound cost omitted.</x:v>
      </x:c>
      <x:c r="W139" s="3"/>
      <x:c r="X139" s="3" t="str">
        <x:v>https://nakpro.com/products/nakpro-creatine-monohydrate?variant=40291104784464</x:v>
      </x:c>
      <x:c r="Y139" s="3" t="str">
        <x:v>https://nakpro.com/products/nakpro-creatine-monohydrate?variant=40291104784464</x:v>
      </x:c>
      <x:c r="Z139" s="3" t="str">
        <x:v>Creatine compound concentration not verified; compound cost omitted.</x:v>
      </x:c>
      <x:c r="AA139" s="3" t="str"/>
    </x:row>
    <x:row r="140" ht="44" customHeight="1">
      <x:c r="A140" s="3" t="str">
        <x:v>NAKPRO</x:v>
      </x:c>
      <x:c r="B140" s="3" t="str">
        <x:v>Nakpro Micronized Creatine Monohydrate</x:v>
      </x:c>
      <x:c r="C140" s="3" t="str">
        <x:v>Monohydrate</x:v>
      </x:c>
      <x:c r="D140" s="3" t="str">
        <x:v>Micronized</x:v>
      </x:c>
      <x:c r="E140" s="3" t="str">
        <x:v>Not specified</x:v>
      </x:c>
      <x:c r="F140" s="3" t="str">
        <x:v>Flavoured</x:v>
      </x:c>
      <x:c r="G140" s="3" t="str">
        <x:v>Fruit Punch</x:v>
      </x:c>
      <x:c r="H140" s="3" t="str">
        <x:v>Standard pack</x:v>
      </x:c>
      <x:c r="I140" s="13" t="n">
        <x:v>100</x:v>
      </x:c>
      <x:c r="J140" s="14" t="n">
        <x:v>265</x:v>
      </x:c>
      <x:c r="K140" s="11" t="n">
        <x:f>J140/I140</x:f>
        <x:v>2.65</x:v>
      </x:c>
      <x:c r="L140" s="13"/>
      <x:c r="M140" s="15" t="str">
        <x:f>IF(OR(L140="",L140=0),"",J140/(I140*L140/100))</x:f>
      </x:c>
      <x:c r="N140" s="15" t="str">
        <x:f>IF(M140="","",M140*3)</x:f>
      </x:c>
      <x:c r="O140" s="10"/>
      <x:c r="P140" s="10"/>
      <x:c r="Q140" s="10"/>
      <x:c r="R140" s="10"/>
      <x:c r="S140" s="3" t="str">
        <x:v>In stock</x:v>
      </x:c>
      <x:c r="T140" s="12" t="d">
        <x:v>2026-10-25T00:00:00.000Z</x:v>
      </x:c>
      <x:c r="U140" s="3" t="str">
        <x:v>cr-134</x:v>
      </x:c>
      <x:c r="V140" s="3" t="str">
        <x:v>Creatine compound concentration not verified; compound cost omitted.</x:v>
      </x:c>
      <x:c r="W140" s="3"/>
      <x:c r="X140" s="3" t="str">
        <x:v>https://nakpro.com/products/nakpro-creatine-monohydrate?variant=40133888540752</x:v>
      </x:c>
      <x:c r="Y140" s="3" t="str">
        <x:v>https://nakpro.com/products/nakpro-creatine-monohydrate?variant=40133888540752</x:v>
      </x:c>
      <x:c r="Z140" s="3" t="str">
        <x:v>Creatine compound concentration not verified; compound cost omitted.</x:v>
      </x:c>
      <x:c r="AA140" s="3" t="str"/>
    </x:row>
    <x:row r="141" ht="44" customHeight="1">
      <x:c r="A141" s="3" t="str">
        <x:v>NAKPRO</x:v>
      </x:c>
      <x:c r="B141" s="3" t="str">
        <x:v>Nakpro Micronized Creatine Monohydrate</x:v>
      </x:c>
      <x:c r="C141" s="3" t="str">
        <x:v>Monohydrate</x:v>
      </x:c>
      <x:c r="D141" s="3" t="str">
        <x:v>Micronized</x:v>
      </x:c>
      <x:c r="E141" s="3" t="str">
        <x:v>Not specified</x:v>
      </x:c>
      <x:c r="F141" s="3" t="str">
        <x:v>Flavoured</x:v>
      </x:c>
      <x:c r="G141" s="3" t="str">
        <x:v>Fruit Punch</x:v>
      </x:c>
      <x:c r="H141" s="3" t="str">
        <x:v>Standard pack</x:v>
      </x:c>
      <x:c r="I141" s="13" t="n">
        <x:v>250</x:v>
      </x:c>
      <x:c r="J141" s="14" t="n">
        <x:v>493</x:v>
      </x:c>
      <x:c r="K141" s="11" t="n">
        <x:f>J141/I141</x:f>
        <x:v>1.972</x:v>
      </x:c>
      <x:c r="L141" s="13"/>
      <x:c r="M141" s="15" t="str">
        <x:f>IF(OR(L141="",L141=0),"",J141/(I141*L141/100))</x:f>
      </x:c>
      <x:c r="N141" s="15" t="str">
        <x:f>IF(M141="","",M141*3)</x:f>
      </x:c>
      <x:c r="O141" s="10"/>
      <x:c r="P141" s="10"/>
      <x:c r="Q141" s="10"/>
      <x:c r="R141" s="10"/>
      <x:c r="S141" s="3" t="str">
        <x:v>In stock</x:v>
      </x:c>
      <x:c r="T141" s="12" t="d">
        <x:v>2026-10-25T00:00:00.000Z</x:v>
      </x:c>
      <x:c r="U141" s="3" t="str">
        <x:v>cr-135</x:v>
      </x:c>
      <x:c r="V141" s="3" t="str">
        <x:v>Creatine compound concentration not verified; compound cost omitted.</x:v>
      </x:c>
      <x:c r="W141" s="3"/>
      <x:c r="X141" s="3" t="str">
        <x:v>https://nakpro.com/products/nakpro-creatine-monohydrate?variant=39640054464592</x:v>
      </x:c>
      <x:c r="Y141" s="3" t="str">
        <x:v>https://nakpro.com/products/nakpro-creatine-monohydrate?variant=39640054464592</x:v>
      </x:c>
      <x:c r="Z141" s="3" t="str">
        <x:v>Creatine compound concentration not verified; compound cost omitted.</x:v>
      </x:c>
      <x:c r="AA141" s="3" t="str"/>
    </x:row>
    <x:row r="142" ht="44" customHeight="1">
      <x:c r="A142" s="3" t="str">
        <x:v>NAKPRO</x:v>
      </x:c>
      <x:c r="B142" s="3" t="str">
        <x:v>Nakpro Micronized Creatine Monohydrate</x:v>
      </x:c>
      <x:c r="C142" s="3" t="str">
        <x:v>Monohydrate</x:v>
      </x:c>
      <x:c r="D142" s="3" t="str">
        <x:v>Micronized</x:v>
      </x:c>
      <x:c r="E142" s="3" t="str">
        <x:v>Not specified</x:v>
      </x:c>
      <x:c r="F142" s="3" t="str">
        <x:v>Flavoured</x:v>
      </x:c>
      <x:c r="G142" s="3" t="str">
        <x:v>Fruit Punch</x:v>
      </x:c>
      <x:c r="H142" s="3" t="str">
        <x:v>Standard pack</x:v>
      </x:c>
      <x:c r="I142" s="13" t="n">
        <x:v>400</x:v>
      </x:c>
      <x:c r="J142" s="14" t="n">
        <x:v>860</x:v>
      </x:c>
      <x:c r="K142" s="11" t="n">
        <x:f>J142/I142</x:f>
        <x:v>2.15</x:v>
      </x:c>
      <x:c r="L142" s="13"/>
      <x:c r="M142" s="15" t="str">
        <x:f>IF(OR(L142="",L142=0),"",J142/(I142*L142/100))</x:f>
      </x:c>
      <x:c r="N142" s="15" t="str">
        <x:f>IF(M142="","",M142*3)</x:f>
      </x:c>
      <x:c r="O142" s="10"/>
      <x:c r="P142" s="10"/>
      <x:c r="Q142" s="10"/>
      <x:c r="R142" s="10"/>
      <x:c r="S142" s="3" t="str">
        <x:v>In stock</x:v>
      </x:c>
      <x:c r="T142" s="12" t="d">
        <x:v>2026-10-25T00:00:00.000Z</x:v>
      </x:c>
      <x:c r="U142" s="3" t="str">
        <x:v>cr-136</x:v>
      </x:c>
      <x:c r="V142" s="3" t="str">
        <x:v>Creatine compound concentration not verified; compound cost omitted.</x:v>
      </x:c>
      <x:c r="W142" s="3"/>
      <x:c r="X142" s="3" t="str">
        <x:v>https://nakpro.com/products/nakpro-creatine-monohydrate?variant=39869742612560</x:v>
      </x:c>
      <x:c r="Y142" s="3" t="str">
        <x:v>https://nakpro.com/products/nakpro-creatine-monohydrate?variant=39869742612560</x:v>
      </x:c>
      <x:c r="Z142" s="3" t="str">
        <x:v>Creatine compound concentration not verified; compound cost omitted.</x:v>
      </x:c>
      <x:c r="AA142" s="3" t="str"/>
    </x:row>
    <x:row r="143" ht="44" customHeight="1">
      <x:c r="A143" s="3" t="str">
        <x:v>NAKPRO</x:v>
      </x:c>
      <x:c r="B143" s="3" t="str">
        <x:v>Nakpro Micronized Creatine Monohydrate</x:v>
      </x:c>
      <x:c r="C143" s="3" t="str">
        <x:v>Monohydrate</x:v>
      </x:c>
      <x:c r="D143" s="3" t="str">
        <x:v>Micronized</x:v>
      </x:c>
      <x:c r="E143" s="3" t="str">
        <x:v>Not specified</x:v>
      </x:c>
      <x:c r="F143" s="3" t="str">
        <x:v>Flavoured</x:v>
      </x:c>
      <x:c r="G143" s="3" t="str">
        <x:v>Lychee</x:v>
      </x:c>
      <x:c r="H143" s="3" t="str">
        <x:v>Jar</x:v>
      </x:c>
      <x:c r="I143" s="13" t="n">
        <x:v>100</x:v>
      </x:c>
      <x:c r="J143" s="14" t="n">
        <x:v>285</x:v>
      </x:c>
      <x:c r="K143" s="11" t="n">
        <x:f>J143/I143</x:f>
        <x:v>2.85</x:v>
      </x:c>
      <x:c r="L143" s="13"/>
      <x:c r="M143" s="15" t="str">
        <x:f>IF(OR(L143="",L143=0),"",J143/(I143*L143/100))</x:f>
      </x:c>
      <x:c r="N143" s="15" t="str">
        <x:f>IF(M143="","",M143*3)</x:f>
      </x:c>
      <x:c r="O143" s="10"/>
      <x:c r="P143" s="10"/>
      <x:c r="Q143" s="10"/>
      <x:c r="R143" s="10"/>
      <x:c r="S143" s="3" t="str">
        <x:v>Sold out</x:v>
      </x:c>
      <x:c r="T143" s="12" t="d">
        <x:v>2026-10-25T00:00:00.000Z</x:v>
      </x:c>
      <x:c r="U143" s="3" t="str">
        <x:v>cr-137</x:v>
      </x:c>
      <x:c r="V143" s="3" t="str">
        <x:v>Creatine compound concentration not verified; compound cost omitted.</x:v>
      </x:c>
      <x:c r="W143" s="3"/>
      <x:c r="X143" s="3" t="str">
        <x:v>https://nakpro.com/products/nakpro-creatine-monohydrate?variant=40466978504784</x:v>
      </x:c>
      <x:c r="Y143" s="3" t="str">
        <x:v>https://nakpro.com/products/nakpro-creatine-monohydrate?variant=40466978504784</x:v>
      </x:c>
      <x:c r="Z143" s="3" t="str">
        <x:v>Creatine compound concentration not verified; compound cost omitted.</x:v>
      </x:c>
      <x:c r="AA143" s="3" t="str"/>
    </x:row>
    <x:row r="144" ht="44" customHeight="1">
      <x:c r="A144" s="3" t="str">
        <x:v>NAKPRO</x:v>
      </x:c>
      <x:c r="B144" s="3" t="str">
        <x:v>Nakpro Micronized Creatine Monohydrate</x:v>
      </x:c>
      <x:c r="C144" s="3" t="str">
        <x:v>Monohydrate</x:v>
      </x:c>
      <x:c r="D144" s="3" t="str">
        <x:v>Micronized</x:v>
      </x:c>
      <x:c r="E144" s="3" t="str">
        <x:v>Not specified</x:v>
      </x:c>
      <x:c r="F144" s="3" t="str">
        <x:v>Flavoured</x:v>
      </x:c>
      <x:c r="G144" s="3" t="str">
        <x:v>Lychee</x:v>
      </x:c>
      <x:c r="H144" s="3" t="str">
        <x:v>Jar</x:v>
      </x:c>
      <x:c r="I144" s="13" t="n">
        <x:v>250</x:v>
      </x:c>
      <x:c r="J144" s="14" t="n">
        <x:v>513</x:v>
      </x:c>
      <x:c r="K144" s="11" t="n">
        <x:f>J144/I144</x:f>
        <x:v>2.052</x:v>
      </x:c>
      <x:c r="L144" s="13"/>
      <x:c r="M144" s="15" t="str">
        <x:f>IF(OR(L144="",L144=0),"",J144/(I144*L144/100))</x:f>
      </x:c>
      <x:c r="N144" s="15" t="str">
        <x:f>IF(M144="","",M144*3)</x:f>
      </x:c>
      <x:c r="O144" s="10"/>
      <x:c r="P144" s="10"/>
      <x:c r="Q144" s="10"/>
      <x:c r="R144" s="10"/>
      <x:c r="S144" s="3" t="str">
        <x:v>Sold out</x:v>
      </x:c>
      <x:c r="T144" s="12" t="d">
        <x:v>2026-10-25T00:00:00.000Z</x:v>
      </x:c>
      <x:c r="U144" s="3" t="str">
        <x:v>cr-138</x:v>
      </x:c>
      <x:c r="V144" s="3" t="str">
        <x:v>Creatine compound concentration not verified; compound cost omitted.</x:v>
      </x:c>
      <x:c r="W144" s="3"/>
      <x:c r="X144" s="3" t="str">
        <x:v>https://nakpro.com/products/nakpro-creatine-monohydrate?variant=40291105275984</x:v>
      </x:c>
      <x:c r="Y144" s="3" t="str">
        <x:v>https://nakpro.com/products/nakpro-creatine-monohydrate?variant=40291105275984</x:v>
      </x:c>
      <x:c r="Z144" s="3" t="str">
        <x:v>Creatine compound concentration not verified; compound cost omitted.</x:v>
      </x:c>
      <x:c r="AA144" s="3" t="str"/>
    </x:row>
    <x:row r="145" ht="44" customHeight="1">
      <x:c r="A145" s="3" t="str">
        <x:v>NAKPRO</x:v>
      </x:c>
      <x:c r="B145" s="3" t="str">
        <x:v>Nakpro Micronized Creatine Monohydrate</x:v>
      </x:c>
      <x:c r="C145" s="3" t="str">
        <x:v>Monohydrate</x:v>
      </x:c>
      <x:c r="D145" s="3" t="str">
        <x:v>Micronized</x:v>
      </x:c>
      <x:c r="E145" s="3" t="str">
        <x:v>Not specified</x:v>
      </x:c>
      <x:c r="F145" s="3" t="str">
        <x:v>Flavoured</x:v>
      </x:c>
      <x:c r="G145" s="3" t="str">
        <x:v>Lychee</x:v>
      </x:c>
      <x:c r="H145" s="3" t="str">
        <x:v>Standard pack</x:v>
      </x:c>
      <x:c r="I145" s="13" t="n">
        <x:v>250</x:v>
      </x:c>
      <x:c r="J145" s="14" t="n">
        <x:v>493</x:v>
      </x:c>
      <x:c r="K145" s="11" t="n">
        <x:f>J145/I145</x:f>
        <x:v>1.972</x:v>
      </x:c>
      <x:c r="L145" s="13"/>
      <x:c r="M145" s="15" t="str">
        <x:f>IF(OR(L145="",L145=0),"",J145/(I145*L145/100))</x:f>
      </x:c>
      <x:c r="N145" s="15" t="str">
        <x:f>IF(M145="","",M145*3)</x:f>
      </x:c>
      <x:c r="O145" s="10"/>
      <x:c r="P145" s="10"/>
      <x:c r="Q145" s="10"/>
      <x:c r="R145" s="10"/>
      <x:c r="S145" s="3" t="str">
        <x:v>Sold out</x:v>
      </x:c>
      <x:c r="T145" s="12" t="d">
        <x:v>2026-10-25T00:00:00.000Z</x:v>
      </x:c>
      <x:c r="U145" s="3" t="str">
        <x:v>cr-139</x:v>
      </x:c>
      <x:c r="V145" s="3" t="str">
        <x:v>Creatine compound concentration not verified; compound cost omitted.</x:v>
      </x:c>
      <x:c r="W145" s="3"/>
      <x:c r="X145" s="3" t="str">
        <x:v>https://nakpro.com/products/nakpro-creatine-monohydrate?variant=40291105210448</x:v>
      </x:c>
      <x:c r="Y145" s="3" t="str">
        <x:v>https://nakpro.com/products/nakpro-creatine-monohydrate?variant=40291105210448</x:v>
      </x:c>
      <x:c r="Z145" s="3" t="str">
        <x:v>Creatine compound concentration not verified; compound cost omitted.</x:v>
      </x:c>
      <x:c r="AA145" s="3" t="str"/>
    </x:row>
    <x:row r="146" ht="44" customHeight="1">
      <x:c r="A146" s="3" t="str">
        <x:v>NAKPRO</x:v>
      </x:c>
      <x:c r="B146" s="3" t="str">
        <x:v>Nakpro Micronized Creatine Monohydrate</x:v>
      </x:c>
      <x:c r="C146" s="3" t="str">
        <x:v>Monohydrate</x:v>
      </x:c>
      <x:c r="D146" s="3" t="str">
        <x:v>Micronized</x:v>
      </x:c>
      <x:c r="E146" s="3" t="str">
        <x:v>Not specified</x:v>
      </x:c>
      <x:c r="F146" s="3" t="str">
        <x:v>Flavoured</x:v>
      </x:c>
      <x:c r="G146" s="3" t="str">
        <x:v>Lychee</x:v>
      </x:c>
      <x:c r="H146" s="3" t="str">
        <x:v>Standard pack</x:v>
      </x:c>
      <x:c r="I146" s="13" t="n">
        <x:v>400</x:v>
      </x:c>
      <x:c r="J146" s="14" t="n">
        <x:v>860</x:v>
      </x:c>
      <x:c r="K146" s="11" t="n">
        <x:f>J146/I146</x:f>
        <x:v>2.15</x:v>
      </x:c>
      <x:c r="L146" s="13"/>
      <x:c r="M146" s="15" t="str">
        <x:f>IF(OR(L146="",L146=0),"",J146/(I146*L146/100))</x:f>
      </x:c>
      <x:c r="N146" s="15" t="str">
        <x:f>IF(M146="","",M146*3)</x:f>
      </x:c>
      <x:c r="O146" s="10"/>
      <x:c r="P146" s="10"/>
      <x:c r="Q146" s="10"/>
      <x:c r="R146" s="10"/>
      <x:c r="S146" s="3" t="str">
        <x:v>Sold out</x:v>
      </x:c>
      <x:c r="T146" s="12" t="d">
        <x:v>2026-10-25T00:00:00.000Z</x:v>
      </x:c>
      <x:c r="U146" s="3" t="str">
        <x:v>cr-140</x:v>
      </x:c>
      <x:c r="V146" s="3" t="str">
        <x:v>Creatine compound concentration not verified; compound cost omitted.</x:v>
      </x:c>
      <x:c r="W146" s="3"/>
      <x:c r="X146" s="3" t="str">
        <x:v>https://nakpro.com/products/nakpro-creatine-monohydrate?variant=40291105243216</x:v>
      </x:c>
      <x:c r="Y146" s="3" t="str">
        <x:v>https://nakpro.com/products/nakpro-creatine-monohydrate?variant=40291105243216</x:v>
      </x:c>
      <x:c r="Z146" s="3" t="str">
        <x:v>Creatine compound concentration not verified; compound cost omitted.</x:v>
      </x:c>
      <x:c r="AA146" s="3" t="str"/>
    </x:row>
    <x:row r="147" ht="44" customHeight="1">
      <x:c r="A147" s="3" t="str">
        <x:v>NAKPRO</x:v>
      </x:c>
      <x:c r="B147" s="3" t="str">
        <x:v>Nakpro Micronized Creatine Monohydrate</x:v>
      </x:c>
      <x:c r="C147" s="3" t="str">
        <x:v>Monohydrate</x:v>
      </x:c>
      <x:c r="D147" s="3" t="str">
        <x:v>Micronized</x:v>
      </x:c>
      <x:c r="E147" s="3" t="str">
        <x:v>Not specified</x:v>
      </x:c>
      <x:c r="F147" s="3" t="str">
        <x:v>Flavoured</x:v>
      </x:c>
      <x:c r="G147" s="3" t="str">
        <x:v>Pink Guava</x:v>
      </x:c>
      <x:c r="H147" s="3" t="str">
        <x:v>Jar</x:v>
      </x:c>
      <x:c r="I147" s="13" t="n">
        <x:v>100</x:v>
      </x:c>
      <x:c r="J147" s="14" t="n">
        <x:v>285</x:v>
      </x:c>
      <x:c r="K147" s="11" t="n">
        <x:f>J147/I147</x:f>
        <x:v>2.85</x:v>
      </x:c>
      <x:c r="L147" s="13"/>
      <x:c r="M147" s="15" t="str">
        <x:f>IF(OR(L147="",L147=0),"",J147/(I147*L147/100))</x:f>
      </x:c>
      <x:c r="N147" s="15" t="str">
        <x:f>IF(M147="","",M147*3)</x:f>
      </x:c>
      <x:c r="O147" s="10"/>
      <x:c r="P147" s="10"/>
      <x:c r="Q147" s="10"/>
      <x:c r="R147" s="10"/>
      <x:c r="S147" s="3" t="str">
        <x:v>In stock</x:v>
      </x:c>
      <x:c r="T147" s="12" t="d">
        <x:v>2026-10-25T00:00:00.000Z</x:v>
      </x:c>
      <x:c r="U147" s="3" t="str">
        <x:v>cr-141</x:v>
      </x:c>
      <x:c r="V147" s="3" t="str">
        <x:v>Creatine compound concentration not verified; compound cost omitted.</x:v>
      </x:c>
      <x:c r="W147" s="3"/>
      <x:c r="X147" s="3" t="str">
        <x:v>https://nakpro.com/products/nakpro-creatine-monohydrate?variant=40466978537552</x:v>
      </x:c>
      <x:c r="Y147" s="3" t="str">
        <x:v>https://nakpro.com/products/nakpro-creatine-monohydrate?variant=40466978537552</x:v>
      </x:c>
      <x:c r="Z147" s="3" t="str">
        <x:v>Creatine compound concentration not verified; compound cost omitted.</x:v>
      </x:c>
      <x:c r="AA147" s="3" t="str"/>
    </x:row>
    <x:row r="148" ht="44" customHeight="1">
      <x:c r="A148" s="3" t="str">
        <x:v>NAKPRO</x:v>
      </x:c>
      <x:c r="B148" s="3" t="str">
        <x:v>Nakpro Micronized Creatine Monohydrate</x:v>
      </x:c>
      <x:c r="C148" s="3" t="str">
        <x:v>Monohydrate</x:v>
      </x:c>
      <x:c r="D148" s="3" t="str">
        <x:v>Micronized</x:v>
      </x:c>
      <x:c r="E148" s="3" t="str">
        <x:v>Not specified</x:v>
      </x:c>
      <x:c r="F148" s="3" t="str">
        <x:v>Flavoured</x:v>
      </x:c>
      <x:c r="G148" s="3" t="str">
        <x:v>Pink Guava</x:v>
      </x:c>
      <x:c r="H148" s="3" t="str">
        <x:v>Jar</x:v>
      </x:c>
      <x:c r="I148" s="13" t="n">
        <x:v>250</x:v>
      </x:c>
      <x:c r="J148" s="14" t="n">
        <x:v>513</x:v>
      </x:c>
      <x:c r="K148" s="11" t="n">
        <x:f>J148/I148</x:f>
        <x:v>2.052</x:v>
      </x:c>
      <x:c r="L148" s="13"/>
      <x:c r="M148" s="15" t="str">
        <x:f>IF(OR(L148="",L148=0),"",J148/(I148*L148/100))</x:f>
      </x:c>
      <x:c r="N148" s="15" t="str">
        <x:f>IF(M148="","",M148*3)</x:f>
      </x:c>
      <x:c r="O148" s="10"/>
      <x:c r="P148" s="10"/>
      <x:c r="Q148" s="10"/>
      <x:c r="R148" s="10"/>
      <x:c r="S148" s="3" t="str">
        <x:v>In stock</x:v>
      </x:c>
      <x:c r="T148" s="12" t="d">
        <x:v>2026-10-25T00:00:00.000Z</x:v>
      </x:c>
      <x:c r="U148" s="3" t="str">
        <x:v>cr-142</x:v>
      </x:c>
      <x:c r="V148" s="3" t="str">
        <x:v>Creatine compound concentration not verified; compound cost omitted.</x:v>
      </x:c>
      <x:c r="W148" s="3"/>
      <x:c r="X148" s="3" t="str">
        <x:v>https://nakpro.com/products/nakpro-creatine-monohydrate?variant=40291104817232</x:v>
      </x:c>
      <x:c r="Y148" s="3" t="str">
        <x:v>https://nakpro.com/products/nakpro-creatine-monohydrate?variant=40291104817232</x:v>
      </x:c>
      <x:c r="Z148" s="3" t="str">
        <x:v>Creatine compound concentration not verified; compound cost omitted.</x:v>
      </x:c>
      <x:c r="AA148" s="3" t="str"/>
    </x:row>
    <x:row r="149" ht="44" customHeight="1">
      <x:c r="A149" s="3" t="str">
        <x:v>NAKPRO</x:v>
      </x:c>
      <x:c r="B149" s="3" t="str">
        <x:v>Nakpro Micronized Creatine Monohydrate</x:v>
      </x:c>
      <x:c r="C149" s="3" t="str">
        <x:v>Monohydrate</x:v>
      </x:c>
      <x:c r="D149" s="3" t="str">
        <x:v>Micronized</x:v>
      </x:c>
      <x:c r="E149" s="3" t="str">
        <x:v>Not specified</x:v>
      </x:c>
      <x:c r="F149" s="3" t="str">
        <x:v>Flavoured</x:v>
      </x:c>
      <x:c r="G149" s="3" t="str">
        <x:v>Pink Guava</x:v>
      </x:c>
      <x:c r="H149" s="3" t="str">
        <x:v>Standard pack</x:v>
      </x:c>
      <x:c r="I149" s="13" t="n">
        <x:v>100</x:v>
      </x:c>
      <x:c r="J149" s="14" t="n">
        <x:v>265</x:v>
      </x:c>
      <x:c r="K149" s="11" t="n">
        <x:f>J149/I149</x:f>
        <x:v>2.65</x:v>
      </x:c>
      <x:c r="L149" s="13"/>
      <x:c r="M149" s="15" t="str">
        <x:f>IF(OR(L149="",L149=0),"",J149/(I149*L149/100))</x:f>
      </x:c>
      <x:c r="N149" s="15" t="str">
        <x:f>IF(M149="","",M149*3)</x:f>
      </x:c>
      <x:c r="O149" s="10"/>
      <x:c r="P149" s="10"/>
      <x:c r="Q149" s="10"/>
      <x:c r="R149" s="10"/>
      <x:c r="S149" s="3" t="str">
        <x:v>In stock</x:v>
      </x:c>
      <x:c r="T149" s="12" t="d">
        <x:v>2026-10-25T00:00:00.000Z</x:v>
      </x:c>
      <x:c r="U149" s="3" t="str">
        <x:v>cr-143</x:v>
      </x:c>
      <x:c r="V149" s="3" t="str">
        <x:v>Creatine compound concentration not verified; compound cost omitted.</x:v>
      </x:c>
      <x:c r="W149" s="3"/>
      <x:c r="X149" s="3" t="str">
        <x:v>https://nakpro.com/products/nakpro-creatine-monohydrate?variant=40133888606288</x:v>
      </x:c>
      <x:c r="Y149" s="3" t="str">
        <x:v>https://nakpro.com/products/nakpro-creatine-monohydrate?variant=40133888606288</x:v>
      </x:c>
      <x:c r="Z149" s="3" t="str">
        <x:v>Creatine compound concentration not verified; compound cost omitted.</x:v>
      </x:c>
      <x:c r="AA149" s="3" t="str"/>
    </x:row>
    <x:row r="150" ht="44" customHeight="1">
      <x:c r="A150" s="3" t="str">
        <x:v>NAKPRO</x:v>
      </x:c>
      <x:c r="B150" s="3" t="str">
        <x:v>Nakpro Micronized Creatine Monohydrate</x:v>
      </x:c>
      <x:c r="C150" s="3" t="str">
        <x:v>Monohydrate</x:v>
      </x:c>
      <x:c r="D150" s="3" t="str">
        <x:v>Micronized</x:v>
      </x:c>
      <x:c r="E150" s="3" t="str">
        <x:v>Not specified</x:v>
      </x:c>
      <x:c r="F150" s="3" t="str">
        <x:v>Flavoured</x:v>
      </x:c>
      <x:c r="G150" s="3" t="str">
        <x:v>Pink Guava</x:v>
      </x:c>
      <x:c r="H150" s="3" t="str">
        <x:v>Standard pack</x:v>
      </x:c>
      <x:c r="I150" s="13" t="n">
        <x:v>250</x:v>
      </x:c>
      <x:c r="J150" s="14" t="n">
        <x:v>493</x:v>
      </x:c>
      <x:c r="K150" s="11" t="n">
        <x:f>J150/I150</x:f>
        <x:v>1.972</x:v>
      </x:c>
      <x:c r="L150" s="13"/>
      <x:c r="M150" s="15" t="str">
        <x:f>IF(OR(L150="",L150=0),"",J150/(I150*L150/100))</x:f>
      </x:c>
      <x:c r="N150" s="15" t="str">
        <x:f>IF(M150="","",M150*3)</x:f>
      </x:c>
      <x:c r="O150" s="10"/>
      <x:c r="P150" s="10"/>
      <x:c r="Q150" s="10"/>
      <x:c r="R150" s="10"/>
      <x:c r="S150" s="3" t="str">
        <x:v>In stock</x:v>
      </x:c>
      <x:c r="T150" s="12" t="d">
        <x:v>2026-10-25T00:00:00.000Z</x:v>
      </x:c>
      <x:c r="U150" s="3" t="str">
        <x:v>cr-144</x:v>
      </x:c>
      <x:c r="V150" s="3" t="str">
        <x:v>Creatine compound concentration not verified; compound cost omitted.</x:v>
      </x:c>
      <x:c r="W150" s="3"/>
      <x:c r="X150" s="3" t="str">
        <x:v>https://nakpro.com/products/nakpro-creatine-monohydrate?variant=39869743923280</x:v>
      </x:c>
      <x:c r="Y150" s="3" t="str">
        <x:v>https://nakpro.com/products/nakpro-creatine-monohydrate?variant=39869743923280</x:v>
      </x:c>
      <x:c r="Z150" s="3" t="str">
        <x:v>Creatine compound concentration not verified; compound cost omitted.</x:v>
      </x:c>
      <x:c r="AA150" s="3" t="str"/>
    </x:row>
    <x:row r="151" ht="44" customHeight="1">
      <x:c r="A151" s="3" t="str">
        <x:v>NAKPRO</x:v>
      </x:c>
      <x:c r="B151" s="3" t="str">
        <x:v>Nakpro Micronized Creatine Monohydrate</x:v>
      </x:c>
      <x:c r="C151" s="3" t="str">
        <x:v>Monohydrate</x:v>
      </x:c>
      <x:c r="D151" s="3" t="str">
        <x:v>Micronized</x:v>
      </x:c>
      <x:c r="E151" s="3" t="str">
        <x:v>Not specified</x:v>
      </x:c>
      <x:c r="F151" s="3" t="str">
        <x:v>Flavoured</x:v>
      </x:c>
      <x:c r="G151" s="3" t="str">
        <x:v>Pink Guava</x:v>
      </x:c>
      <x:c r="H151" s="3" t="str">
        <x:v>Standard pack</x:v>
      </x:c>
      <x:c r="I151" s="13" t="n">
        <x:v>400</x:v>
      </x:c>
      <x:c r="J151" s="14" t="n">
        <x:v>860</x:v>
      </x:c>
      <x:c r="K151" s="11" t="n">
        <x:f>J151/I151</x:f>
        <x:v>2.15</x:v>
      </x:c>
      <x:c r="L151" s="13"/>
      <x:c r="M151" s="15" t="str">
        <x:f>IF(OR(L151="",L151=0),"",J151/(I151*L151/100))</x:f>
      </x:c>
      <x:c r="N151" s="15" t="str">
        <x:f>IF(M151="","",M151*3)</x:f>
      </x:c>
      <x:c r="O151" s="10"/>
      <x:c r="P151" s="10"/>
      <x:c r="Q151" s="10"/>
      <x:c r="R151" s="10"/>
      <x:c r="S151" s="3" t="str">
        <x:v>In stock</x:v>
      </x:c>
      <x:c r="T151" s="12" t="d">
        <x:v>2026-10-25T00:00:00.000Z</x:v>
      </x:c>
      <x:c r="U151" s="3" t="str">
        <x:v>cr-145</x:v>
      </x:c>
      <x:c r="V151" s="3" t="str">
        <x:v>Creatine compound concentration not verified; compound cost omitted.</x:v>
      </x:c>
      <x:c r="W151" s="3"/>
      <x:c r="X151" s="3" t="str">
        <x:v>https://nakpro.com/products/nakpro-creatine-monohydrate?variant=39869746446416</x:v>
      </x:c>
      <x:c r="Y151" s="3" t="str">
        <x:v>https://nakpro.com/products/nakpro-creatine-monohydrate?variant=39869746446416</x:v>
      </x:c>
      <x:c r="Z151" s="3" t="str">
        <x:v>Creatine compound concentration not verified; compound cost omitted.</x:v>
      </x:c>
      <x:c r="AA151" s="3" t="str"/>
    </x:row>
    <x:row r="152" ht="44" customHeight="1">
      <x:c r="A152" s="3" t="str">
        <x:v>NAKPRO</x:v>
      </x:c>
      <x:c r="B152" s="3" t="str">
        <x:v>Nakpro Micronized Creatine Monohydrate</x:v>
      </x:c>
      <x:c r="C152" s="3" t="str">
        <x:v>Monohydrate</x:v>
      </x:c>
      <x:c r="D152" s="3" t="str">
        <x:v>Micronized</x:v>
      </x:c>
      <x:c r="E152" s="3" t="str">
        <x:v>Not specified</x:v>
      </x:c>
      <x:c r="F152" s="3" t="str">
        <x:v>Flavoured</x:v>
      </x:c>
      <x:c r="G152" s="3" t="str">
        <x:v>Tangy Orange</x:v>
      </x:c>
      <x:c r="H152" s="3" t="str">
        <x:v>Jar</x:v>
      </x:c>
      <x:c r="I152" s="13" t="n">
        <x:v>100</x:v>
      </x:c>
      <x:c r="J152" s="14" t="n">
        <x:v>285</x:v>
      </x:c>
      <x:c r="K152" s="11" t="n">
        <x:f>J152/I152</x:f>
        <x:v>2.85</x:v>
      </x:c>
      <x:c r="L152" s="13"/>
      <x:c r="M152" s="15" t="str">
        <x:f>IF(OR(L152="",L152=0),"",J152/(I152*L152/100))</x:f>
      </x:c>
      <x:c r="N152" s="15" t="str">
        <x:f>IF(M152="","",M152*3)</x:f>
      </x:c>
      <x:c r="O152" s="10"/>
      <x:c r="P152" s="10"/>
      <x:c r="Q152" s="10"/>
      <x:c r="R152" s="10"/>
      <x:c r="S152" s="3" t="str">
        <x:v>In stock</x:v>
      </x:c>
      <x:c r="T152" s="12" t="d">
        <x:v>2026-10-25T00:00:00.000Z</x:v>
      </x:c>
      <x:c r="U152" s="3" t="str">
        <x:v>cr-146</x:v>
      </x:c>
      <x:c r="V152" s="3" t="str">
        <x:v>Creatine compound concentration not verified; compound cost omitted.</x:v>
      </x:c>
      <x:c r="W152" s="3"/>
      <x:c r="X152" s="3" t="str">
        <x:v>https://nakpro.com/products/nakpro-creatine-monohydrate?variant=40466978570320</x:v>
      </x:c>
      <x:c r="Y152" s="3" t="str">
        <x:v>https://nakpro.com/products/nakpro-creatine-monohydrate?variant=40466978570320</x:v>
      </x:c>
      <x:c r="Z152" s="3" t="str">
        <x:v>Creatine compound concentration not verified; compound cost omitted.</x:v>
      </x:c>
      <x:c r="AA152" s="3" t="str"/>
    </x:row>
    <x:row r="153" ht="44" customHeight="1">
      <x:c r="A153" s="3" t="str">
        <x:v>NAKPRO</x:v>
      </x:c>
      <x:c r="B153" s="3" t="str">
        <x:v>Nakpro Micronized Creatine Monohydrate</x:v>
      </x:c>
      <x:c r="C153" s="3" t="str">
        <x:v>Monohydrate</x:v>
      </x:c>
      <x:c r="D153" s="3" t="str">
        <x:v>Micronized</x:v>
      </x:c>
      <x:c r="E153" s="3" t="str">
        <x:v>Not specified</x:v>
      </x:c>
      <x:c r="F153" s="3" t="str">
        <x:v>Flavoured</x:v>
      </x:c>
      <x:c r="G153" s="3" t="str">
        <x:v>Tangy Orange</x:v>
      </x:c>
      <x:c r="H153" s="3" t="str">
        <x:v>Jar</x:v>
      </x:c>
      <x:c r="I153" s="13" t="n">
        <x:v>150</x:v>
      </x:c>
      <x:c r="J153" s="14" t="n">
        <x:v>278</x:v>
      </x:c>
      <x:c r="K153" s="11" t="n">
        <x:f>J153/I153</x:f>
        <x:v>1.8533333333333333</x:v>
      </x:c>
      <x:c r="L153" s="13"/>
      <x:c r="M153" s="15" t="str">
        <x:f>IF(OR(L153="",L153=0),"",J153/(I153*L153/100))</x:f>
      </x:c>
      <x:c r="N153" s="15" t="str">
        <x:f>IF(M153="","",M153*3)</x:f>
      </x:c>
      <x:c r="O153" s="10"/>
      <x:c r="P153" s="10"/>
      <x:c r="Q153" s="10"/>
      <x:c r="R153" s="10"/>
      <x:c r="S153" s="3" t="str">
        <x:v>Sold out</x:v>
      </x:c>
      <x:c r="T153" s="12" t="d">
        <x:v>2026-10-25T00:00:00.000Z</x:v>
      </x:c>
      <x:c r="U153" s="3" t="str">
        <x:v>cr-147</x:v>
      </x:c>
      <x:c r="V153" s="3" t="str">
        <x:v>Creatine compound concentration not verified; compound cost omitted.</x:v>
      </x:c>
      <x:c r="W153" s="3"/>
      <x:c r="X153" s="3" t="str">
        <x:v>https://nakpro.com/products/nakpro-creatine-monohydrate?variant=40861314547792</x:v>
      </x:c>
      <x:c r="Y153" s="3" t="str">
        <x:v>https://nakpro.com/products/nakpro-creatine-monohydrate?variant=40861314547792</x:v>
      </x:c>
      <x:c r="Z153" s="3" t="str">
        <x:v>Creatine compound concentration not verified; compound cost omitted.</x:v>
      </x:c>
      <x:c r="AA153" s="3" t="str"/>
    </x:row>
    <x:row r="154" ht="44" customHeight="1">
      <x:c r="A154" s="3" t="str">
        <x:v>NAKPRO</x:v>
      </x:c>
      <x:c r="B154" s="3" t="str">
        <x:v>Nakpro Micronized Creatine Monohydrate</x:v>
      </x:c>
      <x:c r="C154" s="3" t="str">
        <x:v>Monohydrate</x:v>
      </x:c>
      <x:c r="D154" s="3" t="str">
        <x:v>Micronized</x:v>
      </x:c>
      <x:c r="E154" s="3" t="str">
        <x:v>Not specified</x:v>
      </x:c>
      <x:c r="F154" s="3" t="str">
        <x:v>Flavoured</x:v>
      </x:c>
      <x:c r="G154" s="3" t="str">
        <x:v>Tangy Orange</x:v>
      </x:c>
      <x:c r="H154" s="3" t="str">
        <x:v>Jar</x:v>
      </x:c>
      <x:c r="I154" s="13" t="n">
        <x:v>250</x:v>
      </x:c>
      <x:c r="J154" s="14" t="n">
        <x:v>513</x:v>
      </x:c>
      <x:c r="K154" s="11" t="n">
        <x:f>J154/I154</x:f>
        <x:v>2.052</x:v>
      </x:c>
      <x:c r="L154" s="13"/>
      <x:c r="M154" s="15" t="str">
        <x:f>IF(OR(L154="",L154=0),"",J154/(I154*L154/100))</x:f>
      </x:c>
      <x:c r="N154" s="15" t="str">
        <x:f>IF(M154="","",M154*3)</x:f>
      </x:c>
      <x:c r="O154" s="10"/>
      <x:c r="P154" s="10"/>
      <x:c r="Q154" s="10"/>
      <x:c r="R154" s="10"/>
      <x:c r="S154" s="3" t="str">
        <x:v>In stock</x:v>
      </x:c>
      <x:c r="T154" s="12" t="d">
        <x:v>2026-10-25T00:00:00.000Z</x:v>
      </x:c>
      <x:c r="U154" s="3" t="str">
        <x:v>cr-148</x:v>
      </x:c>
      <x:c r="V154" s="3" t="str">
        <x:v>Creatine compound concentration not verified; compound cost omitted.</x:v>
      </x:c>
      <x:c r="W154" s="3"/>
      <x:c r="X154" s="3" t="str">
        <x:v>https://nakpro.com/products/nakpro-creatine-monohydrate?variant=40291104850000</x:v>
      </x:c>
      <x:c r="Y154" s="3" t="str">
        <x:v>https://nakpro.com/products/nakpro-creatine-monohydrate?variant=40291104850000</x:v>
      </x:c>
      <x:c r="Z154" s="3" t="str">
        <x:v>Creatine compound concentration not verified; compound cost omitted.</x:v>
      </x:c>
      <x:c r="AA154" s="3" t="str"/>
    </x:row>
    <x:row r="155" ht="44" customHeight="1">
      <x:c r="A155" s="3" t="str">
        <x:v>NAKPRO</x:v>
      </x:c>
      <x:c r="B155" s="3" t="str">
        <x:v>Nakpro Micronized Creatine Monohydrate</x:v>
      </x:c>
      <x:c r="C155" s="3" t="str">
        <x:v>Monohydrate</x:v>
      </x:c>
      <x:c r="D155" s="3" t="str">
        <x:v>Micronized</x:v>
      </x:c>
      <x:c r="E155" s="3" t="str">
        <x:v>Not specified</x:v>
      </x:c>
      <x:c r="F155" s="3" t="str">
        <x:v>Flavoured</x:v>
      </x:c>
      <x:c r="G155" s="3" t="str">
        <x:v>Tangy Orange</x:v>
      </x:c>
      <x:c r="H155" s="3" t="str">
        <x:v>Standard pack</x:v>
      </x:c>
      <x:c r="I155" s="13" t="n">
        <x:v>100</x:v>
      </x:c>
      <x:c r="J155" s="14" t="n">
        <x:v>265</x:v>
      </x:c>
      <x:c r="K155" s="11" t="n">
        <x:f>J155/I155</x:f>
        <x:v>2.65</x:v>
      </x:c>
      <x:c r="L155" s="13"/>
      <x:c r="M155" s="15" t="str">
        <x:f>IF(OR(L155="",L155=0),"",J155/(I155*L155/100))</x:f>
      </x:c>
      <x:c r="N155" s="15" t="str">
        <x:f>IF(M155="","",M155*3)</x:f>
      </x:c>
      <x:c r="O155" s="10"/>
      <x:c r="P155" s="10"/>
      <x:c r="Q155" s="10"/>
      <x:c r="R155" s="10"/>
      <x:c r="S155" s="3" t="str">
        <x:v>In stock</x:v>
      </x:c>
      <x:c r="T155" s="12" t="d">
        <x:v>2026-10-25T00:00:00.000Z</x:v>
      </x:c>
      <x:c r="U155" s="3" t="str">
        <x:v>cr-149</x:v>
      </x:c>
      <x:c r="V155" s="3" t="str">
        <x:v>Creatine compound concentration not verified; compound cost omitted.</x:v>
      </x:c>
      <x:c r="W155" s="3"/>
      <x:c r="X155" s="3" t="str">
        <x:v>https://nakpro.com/products/nakpro-creatine-monohydrate?variant=40133888639056</x:v>
      </x:c>
      <x:c r="Y155" s="3" t="str">
        <x:v>https://nakpro.com/products/nakpro-creatine-monohydrate?variant=40133888639056</x:v>
      </x:c>
      <x:c r="Z155" s="3" t="str">
        <x:v>Creatine compound concentration not verified; compound cost omitted.</x:v>
      </x:c>
      <x:c r="AA155" s="3" t="str"/>
    </x:row>
    <x:row r="156" ht="44" customHeight="1">
      <x:c r="A156" s="3" t="str">
        <x:v>NAKPRO</x:v>
      </x:c>
      <x:c r="B156" s="3" t="str">
        <x:v>Nakpro Micronized Creatine Monohydrate</x:v>
      </x:c>
      <x:c r="C156" s="3" t="str">
        <x:v>Monohydrate</x:v>
      </x:c>
      <x:c r="D156" s="3" t="str">
        <x:v>Micronized</x:v>
      </x:c>
      <x:c r="E156" s="3" t="str">
        <x:v>Not specified</x:v>
      </x:c>
      <x:c r="F156" s="3" t="str">
        <x:v>Flavoured</x:v>
      </x:c>
      <x:c r="G156" s="3" t="str">
        <x:v>Tangy Orange</x:v>
      </x:c>
      <x:c r="H156" s="3" t="str">
        <x:v>Standard pack</x:v>
      </x:c>
      <x:c r="I156" s="13" t="n">
        <x:v>250</x:v>
      </x:c>
      <x:c r="J156" s="14" t="n">
        <x:v>493</x:v>
      </x:c>
      <x:c r="K156" s="11" t="n">
        <x:f>J156/I156</x:f>
        <x:v>1.972</x:v>
      </x:c>
      <x:c r="L156" s="13"/>
      <x:c r="M156" s="15" t="str">
        <x:f>IF(OR(L156="",L156=0),"",J156/(I156*L156/100))</x:f>
      </x:c>
      <x:c r="N156" s="15" t="str">
        <x:f>IF(M156="","",M156*3)</x:f>
      </x:c>
      <x:c r="O156" s="10"/>
      <x:c r="P156" s="10"/>
      <x:c r="Q156" s="10"/>
      <x:c r="R156" s="10"/>
      <x:c r="S156" s="3" t="str">
        <x:v>In stock</x:v>
      </x:c>
      <x:c r="T156" s="12" t="d">
        <x:v>2026-10-25T00:00:00.000Z</x:v>
      </x:c>
      <x:c r="U156" s="3" t="str">
        <x:v>cr-150</x:v>
      </x:c>
      <x:c r="V156" s="3" t="str">
        <x:v>Creatine compound concentration not verified; compound cost omitted.</x:v>
      </x:c>
      <x:c r="W156" s="3"/>
      <x:c r="X156" s="3" t="str">
        <x:v>https://nakpro.com/products/nakpro-creatine-monohydrate?variant=39869746872400</x:v>
      </x:c>
      <x:c r="Y156" s="3" t="str">
        <x:v>https://nakpro.com/products/nakpro-creatine-monohydrate?variant=39869746872400</x:v>
      </x:c>
      <x:c r="Z156" s="3" t="str">
        <x:v>Creatine compound concentration not verified; compound cost omitted.</x:v>
      </x:c>
      <x:c r="AA156" s="3" t="str"/>
    </x:row>
    <x:row r="157" ht="44" customHeight="1">
      <x:c r="A157" s="3" t="str">
        <x:v>NAKPRO</x:v>
      </x:c>
      <x:c r="B157" s="3" t="str">
        <x:v>Nakpro Micronized Creatine Monohydrate</x:v>
      </x:c>
      <x:c r="C157" s="3" t="str">
        <x:v>Monohydrate</x:v>
      </x:c>
      <x:c r="D157" s="3" t="str">
        <x:v>Micronized</x:v>
      </x:c>
      <x:c r="E157" s="3" t="str">
        <x:v>Not specified</x:v>
      </x:c>
      <x:c r="F157" s="3" t="str">
        <x:v>Flavoured</x:v>
      </x:c>
      <x:c r="G157" s="3" t="str">
        <x:v>Tangy Orange</x:v>
      </x:c>
      <x:c r="H157" s="3" t="str">
        <x:v>Standard pack</x:v>
      </x:c>
      <x:c r="I157" s="13" t="n">
        <x:v>400</x:v>
      </x:c>
      <x:c r="J157" s="14" t="n">
        <x:v>860</x:v>
      </x:c>
      <x:c r="K157" s="11" t="n">
        <x:f>J157/I157</x:f>
        <x:v>2.15</x:v>
      </x:c>
      <x:c r="L157" s="13"/>
      <x:c r="M157" s="15" t="str">
        <x:f>IF(OR(L157="",L157=0),"",J157/(I157*L157/100))</x:f>
      </x:c>
      <x:c r="N157" s="15" t="str">
        <x:f>IF(M157="","",M157*3)</x:f>
      </x:c>
      <x:c r="O157" s="10"/>
      <x:c r="P157" s="10"/>
      <x:c r="Q157" s="10"/>
      <x:c r="R157" s="10"/>
      <x:c r="S157" s="3" t="str">
        <x:v>In stock</x:v>
      </x:c>
      <x:c r="T157" s="12" t="d">
        <x:v>2026-10-25T00:00:00.000Z</x:v>
      </x:c>
      <x:c r="U157" s="3" t="str">
        <x:v>cr-151</x:v>
      </x:c>
      <x:c r="V157" s="3" t="str">
        <x:v>Creatine compound concentration not verified; compound cost omitted.</x:v>
      </x:c>
      <x:c r="W157" s="3"/>
      <x:c r="X157" s="3" t="str">
        <x:v>https://nakpro.com/products/nakpro-creatine-monohydrate?variant=39869747429456</x:v>
      </x:c>
      <x:c r="Y157" s="3" t="str">
        <x:v>https://nakpro.com/products/nakpro-creatine-monohydrate?variant=39869747429456</x:v>
      </x:c>
      <x:c r="Z157" s="3" t="str">
        <x:v>Creatine compound concentration not verified; compound cost omitted.</x:v>
      </x:c>
      <x:c r="AA157" s="3" t="str"/>
    </x:row>
    <x:row r="158" ht="44" customHeight="1">
      <x:c r="A158" s="3" t="str">
        <x:v>NAKPRO</x:v>
      </x:c>
      <x:c r="B158" s="3" t="str">
        <x:v>Nakpro Micronized Creatine Monohydrate</x:v>
      </x:c>
      <x:c r="C158" s="3" t="str">
        <x:v>Monohydrate</x:v>
      </x:c>
      <x:c r="D158" s="3" t="str">
        <x:v>Micronized</x:v>
      </x:c>
      <x:c r="E158" s="3" t="str">
        <x:v>Not specified</x:v>
      </x:c>
      <x:c r="F158" s="3" t="str">
        <x:v>Single ingredient</x:v>
      </x:c>
      <x:c r="G158" s="3" t="str">
        <x:v>Unflavoured</x:v>
      </x:c>
      <x:c r="H158" s="3" t="str">
        <x:v>Jar</x:v>
      </x:c>
      <x:c r="I158" s="13" t="n">
        <x:v>100</x:v>
      </x:c>
      <x:c r="J158" s="14" t="n">
        <x:v>285</x:v>
      </x:c>
      <x:c r="K158" s="11" t="n">
        <x:f>J158/I158</x:f>
        <x:v>2.85</x:v>
      </x:c>
      <x:c r="L158" s="13" t="n">
        <x:v>100</x:v>
      </x:c>
      <x:c r="M158" s="15" t="n">
        <x:f>IF(OR(L158="",L158=0),"",J158/(I158*L158/100))</x:f>
        <x:v>2.85</x:v>
      </x:c>
      <x:c r="N158" s="15" t="n">
        <x:f>IF(M158="","",M158*3)</x:f>
        <x:v>8.55</x:v>
      </x:c>
      <x:c r="O158" s="10" t="n">
        <x:v>3</x:v>
      </x:c>
      <x:c r="P158" s="10" t="n">
        <x:v>3</x:v>
      </x:c>
      <x:c r="Q158" s="10" t="n">
        <x:v>3</x:v>
      </x:c>
      <x:c r="R158" s="10" t="n">
        <x:v>0</x:v>
      </x:c>
      <x:c r="S158" s="3" t="str">
        <x:v>In stock</x:v>
      </x:c>
      <x:c r="T158" s="12" t="d">
        <x:v>2026-10-25T00:00:00.000Z</x:v>
      </x:c>
      <x:c r="U158" s="3" t="str">
        <x:v>cr-152</x:v>
      </x:c>
      <x:c r="V158" s="3" t="str">
        <x:v>Official product label, visually verified: named creatine compound quantity; per100g stated or calculated from serving. 250g unflavoured label used across same formula pack sizes.</x:v>
      </x:c>
      <x:c r="W158" s="3"/>
      <x:c r="X158" s="3" t="str">
        <x:v>https://nakpro.com/products/nakpro-creatine-monohydrate?variant=41428885307472</x:v>
      </x:c>
      <x:c r="Y158" s="3" t="str">
        <x:v>https://cdn.shopify.com/s/files/1/0237/4497/0832/files/back_02_602cc86b-d4e2-4cf1-8450-8785d85d2122.png?v=1776514746</x:v>
      </x:c>
      <x:c r="Z158" s="3" t="str">
        <x:v>Official product label, visually verified: named creatine compound quantity; per100g stated or calculated from serving.</x:v>
      </x:c>
      <x:c r="AA158" s="3" t="str">
        <x:v>Official label per100g energy or serving kcal × 100 / serving grams.</x:v>
      </x:c>
    </x:row>
    <x:row r="159" ht="44" customHeight="1">
      <x:c r="A159" s="3" t="str">
        <x:v>NAKPRO</x:v>
      </x:c>
      <x:c r="B159" s="3" t="str">
        <x:v>Nakpro Micronized Creatine Monohydrate</x:v>
      </x:c>
      <x:c r="C159" s="3" t="str">
        <x:v>Monohydrate</x:v>
      </x:c>
      <x:c r="D159" s="3" t="str">
        <x:v>Micronized</x:v>
      </x:c>
      <x:c r="E159" s="3" t="str">
        <x:v>Not specified</x:v>
      </x:c>
      <x:c r="F159" s="3" t="str">
        <x:v>Single ingredient</x:v>
      </x:c>
      <x:c r="G159" s="3" t="str">
        <x:v>Unflavoured</x:v>
      </x:c>
      <x:c r="H159" s="3" t="str">
        <x:v>Jar</x:v>
      </x:c>
      <x:c r="I159" s="13" t="n">
        <x:v>150</x:v>
      </x:c>
      <x:c r="J159" s="14" t="n">
        <x:v>278</x:v>
      </x:c>
      <x:c r="K159" s="11" t="n">
        <x:f>J159/I159</x:f>
        <x:v>1.8533333333333333</x:v>
      </x:c>
      <x:c r="L159" s="13" t="n">
        <x:v>100</x:v>
      </x:c>
      <x:c r="M159" s="15" t="n">
        <x:f>IF(OR(L159="",L159=0),"",J159/(I159*L159/100))</x:f>
        <x:v>1.8533333333333333</x:v>
      </x:c>
      <x:c r="N159" s="15" t="n">
        <x:f>IF(M159="","",M159*3)</x:f>
        <x:v>5.56</x:v>
      </x:c>
      <x:c r="O159" s="10" t="n">
        <x:v>3</x:v>
      </x:c>
      <x:c r="P159" s="10" t="n">
        <x:v>3</x:v>
      </x:c>
      <x:c r="Q159" s="10" t="n">
        <x:v>3</x:v>
      </x:c>
      <x:c r="R159" s="10" t="n">
        <x:v>0</x:v>
      </x:c>
      <x:c r="S159" s="3" t="str">
        <x:v>Sold out</x:v>
      </x:c>
      <x:c r="T159" s="12" t="d">
        <x:v>2026-10-25T00:00:00.000Z</x:v>
      </x:c>
      <x:c r="U159" s="3" t="str">
        <x:v>cr-153</x:v>
      </x:c>
      <x:c r="V159" s="3" t="str">
        <x:v>Official product label, visually verified: named creatine compound quantity; per100g stated or calculated from serving. 250g unflavoured label used across same formula pack sizes.</x:v>
      </x:c>
      <x:c r="W159" s="3"/>
      <x:c r="X159" s="3" t="str">
        <x:v>https://nakpro.com/products/nakpro-creatine-monohydrate?variant=41428885438544</x:v>
      </x:c>
      <x:c r="Y159" s="3" t="str">
        <x:v>https://cdn.shopify.com/s/files/1/0237/4497/0832/files/back_02_602cc86b-d4e2-4cf1-8450-8785d85d2122.png?v=1776514746</x:v>
      </x:c>
      <x:c r="Z159" s="3" t="str">
        <x:v>Official product label, visually verified: named creatine compound quantity; per100g stated or calculated from serving.</x:v>
      </x:c>
      <x:c r="AA159" s="3" t="str">
        <x:v>Official label per100g energy or serving kcal × 100 / serving grams.</x:v>
      </x:c>
    </x:row>
    <x:row r="160" ht="44" customHeight="1">
      <x:c r="A160" s="3" t="str">
        <x:v>NAKPRO</x:v>
      </x:c>
      <x:c r="B160" s="3" t="str">
        <x:v>Nakpro Micronized Creatine Monohydrate</x:v>
      </x:c>
      <x:c r="C160" s="3" t="str">
        <x:v>Monohydrate</x:v>
      </x:c>
      <x:c r="D160" s="3" t="str">
        <x:v>Micronized</x:v>
      </x:c>
      <x:c r="E160" s="3" t="str">
        <x:v>Not specified</x:v>
      </x:c>
      <x:c r="F160" s="3" t="str">
        <x:v>Single ingredient</x:v>
      </x:c>
      <x:c r="G160" s="3" t="str">
        <x:v>Unflavoured</x:v>
      </x:c>
      <x:c r="H160" s="3" t="str">
        <x:v>Jar</x:v>
      </x:c>
      <x:c r="I160" s="13" t="n">
        <x:v>250</x:v>
      </x:c>
      <x:c r="J160" s="14" t="n">
        <x:v>513</x:v>
      </x:c>
      <x:c r="K160" s="11" t="n">
        <x:f>J160/I160</x:f>
        <x:v>2.052</x:v>
      </x:c>
      <x:c r="L160" s="13" t="n">
        <x:v>100</x:v>
      </x:c>
      <x:c r="M160" s="15" t="n">
        <x:f>IF(OR(L160="",L160=0),"",J160/(I160*L160/100))</x:f>
        <x:v>2.052</x:v>
      </x:c>
      <x:c r="N160" s="15" t="n">
        <x:f>IF(M160="","",M160*3)</x:f>
        <x:v>6.156000000000001</x:v>
      </x:c>
      <x:c r="O160" s="10" t="n">
        <x:v>3</x:v>
      </x:c>
      <x:c r="P160" s="10" t="n">
        <x:v>3</x:v>
      </x:c>
      <x:c r="Q160" s="10" t="n">
        <x:v>3</x:v>
      </x:c>
      <x:c r="R160" s="10" t="n">
        <x:v>0</x:v>
      </x:c>
      <x:c r="S160" s="3" t="str">
        <x:v>In stock</x:v>
      </x:c>
      <x:c r="T160" s="12" t="d">
        <x:v>2026-10-25T00:00:00.000Z</x:v>
      </x:c>
      <x:c r="U160" s="3" t="str">
        <x:v>cr-154</x:v>
      </x:c>
      <x:c r="V160" s="3" t="str">
        <x:v>Official product label, visually verified: named creatine compound quantity; per100g stated or calculated from serving. 250g unflavoured label used across same formula pack sizes.</x:v>
      </x:c>
      <x:c r="W160" s="3"/>
      <x:c r="X160" s="3" t="str">
        <x:v>https://nakpro.com/products/nakpro-creatine-monohydrate?variant=41428885373008</x:v>
      </x:c>
      <x:c r="Y160" s="3" t="str">
        <x:v>https://cdn.shopify.com/s/files/1/0237/4497/0832/files/back_02_602cc86b-d4e2-4cf1-8450-8785d85d2122.png?v=1776514746</x:v>
      </x:c>
      <x:c r="Z160" s="3" t="str">
        <x:v>Official product label, visually verified: named creatine compound quantity; per100g stated or calculated from serving.</x:v>
      </x:c>
      <x:c r="AA160" s="3" t="str">
        <x:v>Official label per100g energy or serving kcal × 100 / serving grams.</x:v>
      </x:c>
    </x:row>
    <x:row r="161" ht="44" customHeight="1">
      <x:c r="A161" s="3" t="str">
        <x:v>NAKPRO</x:v>
      </x:c>
      <x:c r="B161" s="3" t="str">
        <x:v>Nakpro Micronized Creatine Monohydrate</x:v>
      </x:c>
      <x:c r="C161" s="3" t="str">
        <x:v>Monohydrate</x:v>
      </x:c>
      <x:c r="D161" s="3" t="str">
        <x:v>Micronized</x:v>
      </x:c>
      <x:c r="E161" s="3" t="str">
        <x:v>Not specified</x:v>
      </x:c>
      <x:c r="F161" s="3" t="str">
        <x:v>Single ingredient</x:v>
      </x:c>
      <x:c r="G161" s="3" t="str">
        <x:v>Unflavoured</x:v>
      </x:c>
      <x:c r="H161" s="3" t="str">
        <x:v>Standard pack</x:v>
      </x:c>
      <x:c r="I161" s="13" t="n">
        <x:v>100</x:v>
      </x:c>
      <x:c r="J161" s="14" t="n">
        <x:v>265</x:v>
      </x:c>
      <x:c r="K161" s="11" t="n">
        <x:f>J161/I161</x:f>
        <x:v>2.65</x:v>
      </x:c>
      <x:c r="L161" s="13" t="n">
        <x:v>100</x:v>
      </x:c>
      <x:c r="M161" s="15" t="n">
        <x:f>IF(OR(L161="",L161=0),"",J161/(I161*L161/100))</x:f>
        <x:v>2.65</x:v>
      </x:c>
      <x:c r="N161" s="15" t="n">
        <x:f>IF(M161="","",M161*3)</x:f>
        <x:v>7.949999999999999</x:v>
      </x:c>
      <x:c r="O161" s="10" t="n">
        <x:v>3</x:v>
      </x:c>
      <x:c r="P161" s="10" t="n">
        <x:v>3</x:v>
      </x:c>
      <x:c r="Q161" s="10" t="n">
        <x:v>3</x:v>
      </x:c>
      <x:c r="R161" s="10" t="n">
        <x:v>0</x:v>
      </x:c>
      <x:c r="S161" s="3" t="str">
        <x:v>In stock</x:v>
      </x:c>
      <x:c r="T161" s="12" t="d">
        <x:v>2026-10-25T00:00:00.000Z</x:v>
      </x:c>
      <x:c r="U161" s="3" t="str">
        <x:v>cr-155</x:v>
      </x:c>
      <x:c r="V161" s="3" t="str">
        <x:v>Official product label, visually verified: named creatine compound quantity; per100g stated or calculated from serving. 250g unflavoured label used across same formula pack sizes.</x:v>
      </x:c>
      <x:c r="W161" s="3"/>
      <x:c r="X161" s="3" t="str">
        <x:v>https://nakpro.com/products/nakpro-creatine-monohydrate?variant=41428885274704</x:v>
      </x:c>
      <x:c r="Y161" s="3" t="str">
        <x:v>https://cdn.shopify.com/s/files/1/0237/4497/0832/files/back_02_602cc86b-d4e2-4cf1-8450-8785d85d2122.png?v=1776514746</x:v>
      </x:c>
      <x:c r="Z161" s="3" t="str">
        <x:v>Official product label, visually verified: named creatine compound quantity; per100g stated or calculated from serving.</x:v>
      </x:c>
      <x:c r="AA161" s="3" t="str">
        <x:v>Official label per100g energy or serving kcal × 100 / serving grams.</x:v>
      </x:c>
    </x:row>
    <x:row r="162" ht="44" customHeight="1">
      <x:c r="A162" s="3" t="str">
        <x:v>NAKPRO</x:v>
      </x:c>
      <x:c r="B162" s="3" t="str">
        <x:v>Nakpro Micronized Creatine Monohydrate</x:v>
      </x:c>
      <x:c r="C162" s="3" t="str">
        <x:v>Monohydrate</x:v>
      </x:c>
      <x:c r="D162" s="3" t="str">
        <x:v>Micronized</x:v>
      </x:c>
      <x:c r="E162" s="3" t="str">
        <x:v>Not specified</x:v>
      </x:c>
      <x:c r="F162" s="3" t="str">
        <x:v>Single ingredient</x:v>
      </x:c>
      <x:c r="G162" s="3" t="str">
        <x:v>Unflavoured</x:v>
      </x:c>
      <x:c r="H162" s="3" t="str">
        <x:v>Standard pack</x:v>
      </x:c>
      <x:c r="I162" s="13" t="n">
        <x:v>250</x:v>
      </x:c>
      <x:c r="J162" s="14" t="n">
        <x:v>493</x:v>
      </x:c>
      <x:c r="K162" s="11" t="n">
        <x:f>J162/I162</x:f>
        <x:v>1.972</x:v>
      </x:c>
      <x:c r="L162" s="13" t="n">
        <x:v>100</x:v>
      </x:c>
      <x:c r="M162" s="15" t="n">
        <x:f>IF(OR(L162="",L162=0),"",J162/(I162*L162/100))</x:f>
        <x:v>1.972</x:v>
      </x:c>
      <x:c r="N162" s="15" t="n">
        <x:f>IF(M162="","",M162*3)</x:f>
        <x:v>5.916</x:v>
      </x:c>
      <x:c r="O162" s="10" t="n">
        <x:v>3</x:v>
      </x:c>
      <x:c r="P162" s="10" t="n">
        <x:v>3</x:v>
      </x:c>
      <x:c r="Q162" s="10" t="n">
        <x:v>3</x:v>
      </x:c>
      <x:c r="R162" s="10" t="n">
        <x:v>0</x:v>
      </x:c>
      <x:c r="S162" s="3" t="str">
        <x:v>In stock</x:v>
      </x:c>
      <x:c r="T162" s="12" t="d">
        <x:v>2026-10-25T00:00:00.000Z</x:v>
      </x:c>
      <x:c r="U162" s="3" t="str">
        <x:v>cr-156</x:v>
      </x:c>
      <x:c r="V162" s="3" t="str">
        <x:v>Official product label, visually verified: named creatine compound quantity; per100g stated or calculated from serving. 250g unflavoured label used across same formula pack sizes.</x:v>
      </x:c>
      <x:c r="W162" s="3"/>
      <x:c r="X162" s="3" t="str">
        <x:v>https://nakpro.com/products/nakpro-creatine-monohydrate?variant=42002909528144</x:v>
      </x:c>
      <x:c r="Y162" s="3" t="str">
        <x:v>https://cdn.shopify.com/s/files/1/0237/4497/0832/files/back_02_602cc86b-d4e2-4cf1-8450-8785d85d2122.png?v=1776514746</x:v>
      </x:c>
      <x:c r="Z162" s="3" t="str">
        <x:v>Official product label, visually verified: named creatine compound quantity; per100g stated or calculated from serving.</x:v>
      </x:c>
      <x:c r="AA162" s="3" t="str">
        <x:v>Official label per100g energy or serving kcal × 100 / serving grams.</x:v>
      </x:c>
    </x:row>
    <x:row r="163" ht="44" customHeight="1">
      <x:c r="A163" s="3" t="str">
        <x:v>NAKPRO</x:v>
      </x:c>
      <x:c r="B163" s="3" t="str">
        <x:v>Nakpro Micronized Creatine Monohydrate</x:v>
      </x:c>
      <x:c r="C163" s="3" t="str">
        <x:v>Monohydrate</x:v>
      </x:c>
      <x:c r="D163" s="3" t="str">
        <x:v>Micronized</x:v>
      </x:c>
      <x:c r="E163" s="3" t="str">
        <x:v>Not specified</x:v>
      </x:c>
      <x:c r="F163" s="3" t="str">
        <x:v>Single ingredient</x:v>
      </x:c>
      <x:c r="G163" s="3" t="str">
        <x:v>Unflavoured</x:v>
      </x:c>
      <x:c r="H163" s="3" t="str">
        <x:v>Standard pack</x:v>
      </x:c>
      <x:c r="I163" s="13" t="n">
        <x:v>400</x:v>
      </x:c>
      <x:c r="J163" s="14" t="n">
        <x:v>860</x:v>
      </x:c>
      <x:c r="K163" s="11" t="n">
        <x:f>J163/I163</x:f>
        <x:v>2.15</x:v>
      </x:c>
      <x:c r="L163" s="13" t="n">
        <x:v>100</x:v>
      </x:c>
      <x:c r="M163" s="15" t="n">
        <x:f>IF(OR(L163="",L163=0),"",J163/(I163*L163/100))</x:f>
        <x:v>2.15</x:v>
      </x:c>
      <x:c r="N163" s="15" t="n">
        <x:f>IF(M163="","",M163*3)</x:f>
        <x:v>6.449999999999999</x:v>
      </x:c>
      <x:c r="O163" s="10" t="n">
        <x:v>3</x:v>
      </x:c>
      <x:c r="P163" s="10" t="n">
        <x:v>3</x:v>
      </x:c>
      <x:c r="Q163" s="10" t="n">
        <x:v>3</x:v>
      </x:c>
      <x:c r="R163" s="10" t="n">
        <x:v>0</x:v>
      </x:c>
      <x:c r="S163" s="3" t="str">
        <x:v>In stock</x:v>
      </x:c>
      <x:c r="T163" s="12" t="d">
        <x:v>2026-10-25T00:00:00.000Z</x:v>
      </x:c>
      <x:c r="U163" s="3" t="str">
        <x:v>cr-157</x:v>
      </x:c>
      <x:c r="V163" s="3" t="str">
        <x:v>Official product label, visually verified: named creatine compound quantity; per100g stated or calculated from serving. 250g unflavoured label used across same formula pack sizes.</x:v>
      </x:c>
      <x:c r="W163" s="3"/>
      <x:c r="X163" s="3" t="str">
        <x:v>https://nakpro.com/products/nakpro-creatine-monohydrate?variant=41428885405776</x:v>
      </x:c>
      <x:c r="Y163" s="3" t="str">
        <x:v>https://cdn.shopify.com/s/files/1/0237/4497/0832/files/back_02_602cc86b-d4e2-4cf1-8450-8785d85d2122.png?v=1776514746</x:v>
      </x:c>
      <x:c r="Z163" s="3" t="str">
        <x:v>Official product label, visually verified: named creatine compound quantity; per100g stated or calculated from serving.</x:v>
      </x:c>
      <x:c r="AA163" s="3" t="str">
        <x:v>Official label per100g energy or serving kcal × 100 / serving grams.</x:v>
      </x:c>
    </x:row>
    <x:row r="164" ht="44" customHeight="1">
      <x:c r="A164" s="3" t="str">
        <x:v>Naturaltein</x:v>
      </x:c>
      <x:c r="B164" s="3" t="str">
        <x:v>CREA BOOST Creatine Monohydrate</x:v>
      </x:c>
      <x:c r="C164" s="3" t="str">
        <x:v>Monohydrate</x:v>
      </x:c>
      <x:c r="D164" s="3" t="str">
        <x:v>Not specified</x:v>
      </x:c>
      <x:c r="E164" s="3" t="str">
        <x:v>Not specified</x:v>
      </x:c>
      <x:c r="F164" s="3" t="str">
        <x:v>Flavoured</x:v>
      </x:c>
      <x:c r="G164" s="3" t="str">
        <x:v>BlueBerry</x:v>
      </x:c>
      <x:c r="H164" s="3" t="str">
        <x:v>Standard pack</x:v>
      </x:c>
      <x:c r="I164" s="13" t="n">
        <x:v>100</x:v>
      </x:c>
      <x:c r="J164" s="14" t="n">
        <x:v>599</x:v>
      </x:c>
      <x:c r="K164" s="11" t="n">
        <x:f>J164/I164</x:f>
        <x:v>5.99</x:v>
      </x:c>
      <x:c r="L164" s="13"/>
      <x:c r="M164" s="15" t="str">
        <x:f>IF(OR(L164="",L164=0),"",J164/(I164*L164/100))</x:f>
      </x:c>
      <x:c r="N164" s="15" t="str">
        <x:f>IF(M164="","",M164*3)</x:f>
      </x:c>
      <x:c r="O164" s="10"/>
      <x:c r="P164" s="10"/>
      <x:c r="Q164" s="10"/>
      <x:c r="R164" s="10"/>
      <x:c r="S164" s="3" t="str">
        <x:v>Sold out</x:v>
      </x:c>
      <x:c r="T164" s="12" t="d">
        <x:v>2026-10-25T00:00:00.000Z</x:v>
      </x:c>
      <x:c r="U164" s="3" t="str">
        <x:v>cr-158</x:v>
      </x:c>
      <x:c r="V164" s="3" t="str">
        <x:v>Creatine compound concentration not verified; compound cost omitted.</x:v>
      </x:c>
      <x:c r="W164" s="3"/>
      <x:c r="X164" s="3" t="str">
        <x:v>https://naturaltein.in/products/naturaltein-crea-boost-creatine-monohydrate-delicious?variant=42640031121491</x:v>
      </x:c>
      <x:c r="Y164" s="3" t="str">
        <x:v>https://naturaltein.in/products/naturaltein-crea-boost-creatine-monohydrate-delicious?variant=42640031121491</x:v>
      </x:c>
      <x:c r="Z164" s="3" t="str">
        <x:v>Creatine compound concentration not verified; compound cost omitted.</x:v>
      </x:c>
      <x:c r="AA164" s="3" t="str"/>
    </x:row>
    <x:row r="165" ht="44" customHeight="1">
      <x:c r="A165" s="3" t="str">
        <x:v>Naturaltein</x:v>
      </x:c>
      <x:c r="B165" s="3" t="str">
        <x:v>CREA BOOST Creatine Monohydrate</x:v>
      </x:c>
      <x:c r="C165" s="3" t="str">
        <x:v>Monohydrate</x:v>
      </x:c>
      <x:c r="D165" s="3" t="str">
        <x:v>Microfine</x:v>
      </x:c>
      <x:c r="E165" s="3" t="str">
        <x:v>Not specified</x:v>
      </x:c>
      <x:c r="F165" s="3" t="str">
        <x:v>Not specified</x:v>
      </x:c>
      <x:c r="G165" s="3" t="str">
        <x:v>Unflavoured</x:v>
      </x:c>
      <x:c r="H165" s="3" t="str">
        <x:v>Standard pack</x:v>
      </x:c>
      <x:c r="I165" s="13" t="n">
        <x:v>100</x:v>
      </x:c>
      <x:c r="J165" s="14" t="n">
        <x:v>549</x:v>
      </x:c>
      <x:c r="K165" s="11" t="n">
        <x:f>J165/I165</x:f>
        <x:v>5.49</x:v>
      </x:c>
      <x:c r="L165" s="13" t="n">
        <x:v>96.77419354838709</x:v>
      </x:c>
      <x:c r="M165" s="15" t="n">
        <x:f>IF(OR(L165="",L165=0),"",J165/(I165*L165/100))</x:f>
        <x:v>5.673</x:v>
      </x:c>
      <x:c r="N165" s="15" t="n">
        <x:f>IF(M165="","",M165*3)</x:f>
        <x:v>17.019</x:v>
      </x:c>
      <x:c r="O165" s="10" t="n">
        <x:v>3.1</x:v>
      </x:c>
      <x:c r="P165" s="10" t="n">
        <x:v>3.1</x:v>
      </x:c>
      <x:c r="Q165" s="10" t="n">
        <x:v>3</x:v>
      </x:c>
      <x:c r="R165" s="10"/>
      <x:c r="S165" s="3" t="str">
        <x:v>In stock</x:v>
      </x:c>
      <x:c r="T165" s="12" t="d">
        <x:v>2026-10-25T00:00:00.000Z</x:v>
      </x:c>
      <x:c r="U165" s="3" t="str">
        <x:v>cr-159</x:v>
      </x:c>
      <x:c r="V165" s="3" t="str">
        <x:v>Selected unflavoured page: 3g creatine / 3.1g serving. Dosing section uses 3.1g; generic FAQ also says 3g. Dosing section used; flavour label not inferred.</x:v>
      </x:c>
      <x:c r="W165" s="3"/>
      <x:c r="X165" s="3" t="str">
        <x:v>https://naturaltein.in/products/naturaltein-crea-boost-creatine-monohydrate-delicious?variant=42640031383635</x:v>
      </x:c>
      <x:c r="Y165" s="3" t="str">
        <x:v>https://naturaltein.in/products/naturaltein-crea-boost-creatine-monohydrate-delicious?variant=42640031383635</x:v>
      </x:c>
      <x:c r="Z165" s="3" t="str">
        <x:v>Selected unflavoured page: 3g creatine / 3.1g serving.</x:v>
      </x:c>
      <x:c r="AA165" s="3" t="str"/>
    </x:row>
    <x:row r="166" ht="44" customHeight="1">
      <x:c r="A166" s="3" t="str">
        <x:v>Naturaltein</x:v>
      </x:c>
      <x:c r="B166" s="3" t="str">
        <x:v>CREA BOOST Creatine Monohydrate</x:v>
      </x:c>
      <x:c r="C166" s="3" t="str">
        <x:v>Monohydrate</x:v>
      </x:c>
      <x:c r="D166" s="3" t="str">
        <x:v>Microfine</x:v>
      </x:c>
      <x:c r="E166" s="3" t="str">
        <x:v>Not specified</x:v>
      </x:c>
      <x:c r="F166" s="3" t="str">
        <x:v>Not specified</x:v>
      </x:c>
      <x:c r="G166" s="3" t="str">
        <x:v>Unflavoured</x:v>
      </x:c>
      <x:c r="H166" s="3" t="str">
        <x:v>Standard pack</x:v>
      </x:c>
      <x:c r="I166" s="13" t="n">
        <x:v>250</x:v>
      </x:c>
      <x:c r="J166" s="14" t="n">
        <x:v>999</x:v>
      </x:c>
      <x:c r="K166" s="11" t="n">
        <x:f>J166/I166</x:f>
        <x:v>3.996</x:v>
      </x:c>
      <x:c r="L166" s="13" t="n">
        <x:v>96.77419354838709</x:v>
      </x:c>
      <x:c r="M166" s="15" t="n">
        <x:f>IF(OR(L166="",L166=0),"",J166/(I166*L166/100))</x:f>
        <x:v>4.129200000000001</x:v>
      </x:c>
      <x:c r="N166" s="15" t="n">
        <x:f>IF(M166="","",M166*3)</x:f>
        <x:v>12.387600000000003</x:v>
      </x:c>
      <x:c r="O166" s="10" t="n">
        <x:v>3.1</x:v>
      </x:c>
      <x:c r="P166" s="10" t="n">
        <x:v>3.1</x:v>
      </x:c>
      <x:c r="Q166" s="10" t="n">
        <x:v>3</x:v>
      </x:c>
      <x:c r="R166" s="10"/>
      <x:c r="S166" s="3" t="str">
        <x:v>In stock</x:v>
      </x:c>
      <x:c r="T166" s="12" t="d">
        <x:v>2026-10-25T00:00:00.000Z</x:v>
      </x:c>
      <x:c r="U166" s="3" t="str">
        <x:v>cr-160</x:v>
      </x:c>
      <x:c r="V166" s="3" t="str">
        <x:v>Selected unflavoured page: 3g creatine / 3.1g serving. Dosing section uses 3.1g; generic FAQ also says 3g. Dosing section used; flavour label not inferred.</x:v>
      </x:c>
      <x:c r="W166" s="3"/>
      <x:c r="X166" s="3" t="str">
        <x:v>https://naturaltein.in/products/naturaltein-crea-boost-creatine-monohydrate-delicious?variant=42640031449171</x:v>
      </x:c>
      <x:c r="Y166" s="3" t="str">
        <x:v>https://naturaltein.in/products/naturaltein-crea-boost-creatine-monohydrate-delicious?variant=42640031449171</x:v>
      </x:c>
      <x:c r="Z166" s="3" t="str">
        <x:v>Selected unflavoured page: 3g creatine / 3.1g serving.</x:v>
      </x:c>
      <x:c r="AA166" s="3" t="str"/>
    </x:row>
    <x:row r="167" ht="44" customHeight="1">
      <x:c r="A167" s="3" t="str">
        <x:v>Naturaltein</x:v>
      </x:c>
      <x:c r="B167" s="3" t="str">
        <x:v>CREA BOOST Creatine Monohydrate</x:v>
      </x:c>
      <x:c r="C167" s="3" t="str">
        <x:v>Monohydrate</x:v>
      </x:c>
      <x:c r="D167" s="3" t="str">
        <x:v>Not specified</x:v>
      </x:c>
      <x:c r="E167" s="3" t="str">
        <x:v>Not specified</x:v>
      </x:c>
      <x:c r="F167" s="3" t="str">
        <x:v>Flavoured</x:v>
      </x:c>
      <x:c r="G167" s="3" t="str">
        <x:v>Watermelon</x:v>
      </x:c>
      <x:c r="H167" s="3" t="str">
        <x:v>Standard pack</x:v>
      </x:c>
      <x:c r="I167" s="13" t="n">
        <x:v>100</x:v>
      </x:c>
      <x:c r="J167" s="14" t="n">
        <x:v>599</x:v>
      </x:c>
      <x:c r="K167" s="11" t="n">
        <x:f>J167/I167</x:f>
        <x:v>5.99</x:v>
      </x:c>
      <x:c r="L167" s="13"/>
      <x:c r="M167" s="15" t="str">
        <x:f>IF(OR(L167="",L167=0),"",J167/(I167*L167/100))</x:f>
      </x:c>
      <x:c r="N167" s="15" t="str">
        <x:f>IF(M167="","",M167*3)</x:f>
      </x:c>
      <x:c r="O167" s="10"/>
      <x:c r="P167" s="10"/>
      <x:c r="Q167" s="10"/>
      <x:c r="R167" s="10"/>
      <x:c r="S167" s="3" t="str">
        <x:v>Sold out</x:v>
      </x:c>
      <x:c r="T167" s="12" t="d">
        <x:v>2026-10-25T00:00:00.000Z</x:v>
      </x:c>
      <x:c r="U167" s="3" t="str">
        <x:v>cr-161</x:v>
      </x:c>
      <x:c r="V167" s="3" t="str">
        <x:v>Creatine compound concentration not verified; compound cost omitted.</x:v>
      </x:c>
      <x:c r="W167" s="3"/>
      <x:c r="X167" s="3" t="str">
        <x:v>https://naturaltein.in/products/naturaltein-crea-boost-creatine-monohydrate-delicious?variant=42640031252563</x:v>
      </x:c>
      <x:c r="Y167" s="3" t="str">
        <x:v>https://naturaltein.in/products/naturaltein-crea-boost-creatine-monohydrate-delicious?variant=42640031252563</x:v>
      </x:c>
      <x:c r="Z167" s="3" t="str">
        <x:v>Creatine compound concentration not verified; compound cost omitted.</x:v>
      </x:c>
      <x:c r="AA167" s="3" t="str"/>
    </x:row>
    <x:row r="168" ht="44" customHeight="1">
      <x:c r="A168" s="3" t="str">
        <x:v>Nutrabox</x:v>
      </x:c>
      <x:c r="B168" s="3" t="str">
        <x:v>Alpha Creatine Monohydrate</x:v>
      </x:c>
      <x:c r="C168" s="3" t="str">
        <x:v>Monohydrate</x:v>
      </x:c>
      <x:c r="D168" s="3" t="str">
        <x:v>Not specified</x:v>
      </x:c>
      <x:c r="E168" s="3" t="str">
        <x:v>Not specified</x:v>
      </x:c>
      <x:c r="F168" s="3" t="str">
        <x:v>Single ingredient</x:v>
      </x:c>
      <x:c r="G168" s="3" t="str">
        <x:v>Not specified</x:v>
      </x:c>
      <x:c r="H168" s="3" t="str">
        <x:v>Standard pack</x:v>
      </x:c>
      <x:c r="I168" s="13" t="n">
        <x:v>100</x:v>
      </x:c>
      <x:c r="J168" s="14" t="n">
        <x:v>399</x:v>
      </x:c>
      <x:c r="K168" s="11" t="n">
        <x:f>J168/I168</x:f>
        <x:v>3.99</x:v>
      </x:c>
      <x:c r="L168" s="13" t="n">
        <x:v>100</x:v>
      </x:c>
      <x:c r="M168" s="15" t="n">
        <x:f>IF(OR(L168="",L168=0),"",J168/(I168*L168/100))</x:f>
        <x:v>3.99</x:v>
      </x:c>
      <x:c r="N168" s="15" t="n">
        <x:f>IF(M168="","",M168*3)</x:f>
        <x:v>11.97</x:v>
      </x:c>
      <x:c r="O168" s="10" t="n">
        <x:v>3</x:v>
      </x:c>
      <x:c r="P168" s="10" t="n">
        <x:v>3</x:v>
      </x:c>
      <x:c r="Q168" s="10" t="n">
        <x:v>3</x:v>
      </x:c>
      <x:c r="R168" s="10"/>
      <x:c r="S168" s="3" t="str">
        <x:v>In stock</x:v>
      </x:c>
      <x:c r="T168" s="12" t="d">
        <x:v>2026-10-25T00:00:00.000Z</x:v>
      </x:c>
      <x:c r="U168" s="3" t="str">
        <x:v>cr-162</x:v>
      </x:c>
      <x:c r="V168" s="3" t="str">
        <x:v>Brand intake guide: 3g scoop; 3g creatine per serving.</x:v>
      </x:c>
      <x:c r="W168" s="3"/>
      <x:c r="X168" s="3" t="str">
        <x:v>https://nutrabox.in/products/best-affordable-creatine-monohydrate?variant=46028825165998</x:v>
      </x:c>
      <x:c r="Y168" s="3" t="str">
        <x:v>https://nutrabox.in/products/best-affordable-creatine-monohydrate?variant=46028825165998</x:v>
      </x:c>
      <x:c r="Z168" s="3" t="str">
        <x:v>Brand intake guide: 3g scoop; 3g creatine per serving.</x:v>
      </x:c>
      <x:c r="AA168" s="3" t="str"/>
    </x:row>
    <x:row r="169" ht="44" customHeight="1">
      <x:c r="A169" s="3" t="str">
        <x:v>Nutrabox</x:v>
      </x:c>
      <x:c r="B169" s="3" t="str">
        <x:v>Alpha Creatine Monohydrate</x:v>
      </x:c>
      <x:c r="C169" s="3" t="str">
        <x:v>Monohydrate</x:v>
      </x:c>
      <x:c r="D169" s="3" t="str">
        <x:v>Not specified</x:v>
      </x:c>
      <x:c r="E169" s="3" t="str">
        <x:v>Not specified</x:v>
      </x:c>
      <x:c r="F169" s="3" t="str">
        <x:v>Single ingredient</x:v>
      </x:c>
      <x:c r="G169" s="3" t="str">
        <x:v>Not specified</x:v>
      </x:c>
      <x:c r="H169" s="3" t="str">
        <x:v>Standard pack</x:v>
      </x:c>
      <x:c r="I169" s="13" t="n">
        <x:v>300</x:v>
      </x:c>
      <x:c r="J169" s="14" t="n">
        <x:v>899</x:v>
      </x:c>
      <x:c r="K169" s="11" t="n">
        <x:f>J169/I169</x:f>
        <x:v>2.9966666666666666</x:v>
      </x:c>
      <x:c r="L169" s="13" t="n">
        <x:v>100</x:v>
      </x:c>
      <x:c r="M169" s="15" t="n">
        <x:f>IF(OR(L169="",L169=0),"",J169/(I169*L169/100))</x:f>
        <x:v>2.9966666666666666</x:v>
      </x:c>
      <x:c r="N169" s="15" t="n">
        <x:f>IF(M169="","",M169*3)</x:f>
        <x:v>8.99</x:v>
      </x:c>
      <x:c r="O169" s="10" t="n">
        <x:v>3</x:v>
      </x:c>
      <x:c r="P169" s="10" t="n">
        <x:v>3</x:v>
      </x:c>
      <x:c r="Q169" s="10" t="n">
        <x:v>3</x:v>
      </x:c>
      <x:c r="R169" s="10"/>
      <x:c r="S169" s="3" t="str">
        <x:v>In stock</x:v>
      </x:c>
      <x:c r="T169" s="12" t="d">
        <x:v>2026-10-25T00:00:00.000Z</x:v>
      </x:c>
      <x:c r="U169" s="3" t="str">
        <x:v>cr-163</x:v>
      </x:c>
      <x:c r="V169" s="3" t="str">
        <x:v>Brand intake guide: 3g scoop; 3g creatine per serving.</x:v>
      </x:c>
      <x:c r="W169" s="3"/>
      <x:c r="X169" s="3" t="str">
        <x:v>https://nutrabox.in/products/best-affordable-creatine-monohydrate?variant=47713365426350</x:v>
      </x:c>
      <x:c r="Y169" s="3" t="str">
        <x:v>https://nutrabox.in/products/best-affordable-creatine-monohydrate?variant=47713365426350</x:v>
      </x:c>
      <x:c r="Z169" s="3" t="str">
        <x:v>Brand intake guide: 3g scoop; 3g creatine per serving.</x:v>
      </x:c>
      <x:c r="AA169" s="3" t="str"/>
    </x:row>
    <x:row r="170" ht="44" customHeight="1">
      <x:c r="A170" s="3" t="str">
        <x:v>Nutrabox</x:v>
      </x:c>
      <x:c r="B170" s="3" t="str">
        <x:v>Creatine HCL</x:v>
      </x:c>
      <x:c r="C170" s="3" t="str">
        <x:v>Hydrochloride (HCl)</x:v>
      </x:c>
      <x:c r="D170" s="3" t="str">
        <x:v>Not specified</x:v>
      </x:c>
      <x:c r="E170" s="3" t="str">
        <x:v>Not specified</x:v>
      </x:c>
      <x:c r="F170" s="3" t="str">
        <x:v>Single ingredient</x:v>
      </x:c>
      <x:c r="G170" s="3" t="str">
        <x:v>Not specified</x:v>
      </x:c>
      <x:c r="H170" s="3" t="str">
        <x:v>Standard pack</x:v>
      </x:c>
      <x:c r="I170" s="13" t="n">
        <x:v>300</x:v>
      </x:c>
      <x:c r="J170" s="14" t="n">
        <x:v>930</x:v>
      </x:c>
      <x:c r="K170" s="11" t="n">
        <x:f>J170/I170</x:f>
        <x:v>3.1</x:v>
      </x:c>
      <x:c r="L170" s="13" t="n">
        <x:v>100</x:v>
      </x:c>
      <x:c r="M170" s="15" t="n">
        <x:f>IF(OR(L170="",L170=0),"",J170/(I170*L170/100))</x:f>
        <x:v>3.1</x:v>
      </x:c>
      <x:c r="N170" s="15" t="n">
        <x:f>IF(M170="","",M170*3)</x:f>
        <x:v>9.3</x:v>
      </x:c>
      <x:c r="O170" s="10" t="n">
        <x:v>3</x:v>
      </x:c>
      <x:c r="P170" s="10" t="n">
        <x:v>3</x:v>
      </x:c>
      <x:c r="Q170" s="10" t="n">
        <x:v>3</x:v>
      </x:c>
      <x:c r="R170" s="10"/>
      <x:c r="S170" s="3" t="str">
        <x:v>In stock</x:v>
      </x:c>
      <x:c r="T170" s="12" t="d">
        <x:v>2026-10-25T00:00:00.000Z</x:v>
      </x:c>
      <x:c r="U170" s="3" t="str">
        <x:v>cr-164</x:v>
      </x:c>
      <x:c r="V170" s="3" t="str">
        <x:v>Brand states 100% creatine hydrochloride.</x:v>
      </x:c>
      <x:c r="W170" s="3"/>
      <x:c r="X170" s="3" t="str">
        <x:v>https://nutrabox.in/products/creatine-hcl?variant=44377176146094</x:v>
      </x:c>
      <x:c r="Y170" s="3" t="str">
        <x:v>https://nutrabox.in/products/creatine-hcl?variant=44377176146094</x:v>
      </x:c>
      <x:c r="Z170" s="3" t="str">
        <x:v>Brand states 100% creatine hydrochloride.</x:v>
      </x:c>
      <x:c r="AA170" s="3" t="str"/>
    </x:row>
    <x:row r="171" ht="44" customHeight="1">
      <x:c r="A171" s="3" t="str">
        <x:v>Nutrabox</x:v>
      </x:c>
      <x:c r="B171" s="3" t="str">
        <x:v>Creatine HMB</x:v>
      </x:c>
      <x:c r="C171" s="3" t="str">
        <x:v>Monohydrate</x:v>
      </x:c>
      <x:c r="D171" s="3" t="str">
        <x:v>Micronized</x:v>
      </x:c>
      <x:c r="E171" s="3" t="str">
        <x:v>Not specified</x:v>
      </x:c>
      <x:c r="F171" s="3" t="str">
        <x:v>With HMB</x:v>
      </x:c>
      <x:c r="G171" s="3" t="str">
        <x:v>Cola</x:v>
      </x:c>
      <x:c r="H171" s="3" t="str">
        <x:v>Standard pack</x:v>
      </x:c>
      <x:c r="I171" s="13" t="n">
        <x:v>300</x:v>
      </x:c>
      <x:c r="J171" s="14" t="n">
        <x:v>999</x:v>
      </x:c>
      <x:c r="K171" s="11" t="n">
        <x:f>J171/I171</x:f>
        <x:v>3.33</x:v>
      </x:c>
      <x:c r="L171" s="13" t="n">
        <x:v>46.15384615384615</x:v>
      </x:c>
      <x:c r="M171" s="15" t="n">
        <x:f>IF(OR(L171="",L171=0),"",J171/(I171*L171/100))</x:f>
        <x:v>7.215000000000001</x:v>
      </x:c>
      <x:c r="N171" s="15" t="n">
        <x:f>IF(M171="","",M171*3)</x:f>
        <x:v>21.645000000000003</x:v>
      </x:c>
      <x:c r="O171" s="10"/>
      <x:c r="P171" s="10" t="n">
        <x:v>6.5</x:v>
      </x:c>
      <x:c r="Q171" s="10" t="n">
        <x:v>3</x:v>
      </x:c>
      <x:c r="R171" s="10"/>
      <x:c r="S171" s="3" t="str">
        <x:v>Sold out</x:v>
      </x:c>
      <x:c r="T171" s="12" t="d">
        <x:v>2026-10-25T00:00:00.000Z</x:v>
      </x:c>
      <x:c r="U171" s="3" t="str">
        <x:v>cr-165</x:v>
      </x:c>
      <x:c r="V171" s="3" t="str">
        <x:v>Brand: 3g creatine monohydrate plus 3g HMB in a 6.5g serving. HMB is a co-ingredient; chemical creatine type remains monohydrate. Scoop weight not stated.</x:v>
      </x:c>
      <x:c r="W171" s="3"/>
      <x:c r="X171" s="3" t="str">
        <x:v>https://nutrabox.in/products/creatine-hmb?variant=44202531553454</x:v>
      </x:c>
      <x:c r="Y171" s="3" t="str">
        <x:v>https://nutrabox.in/products/creatine-hmb?variant=44202531553454</x:v>
      </x:c>
      <x:c r="Z171" s="3" t="str">
        <x:v>Brand: 3g creatine monohydrate plus 3g HMB in a 6.5g serving.</x:v>
      </x:c>
      <x:c r="AA171" s="3" t="str"/>
    </x:row>
    <x:row r="172" ht="44" customHeight="1">
      <x:c r="A172" s="3" t="str">
        <x:v>Nutrabox</x:v>
      </x:c>
      <x:c r="B172" s="3" t="str">
        <x:v>Creatine HMB</x:v>
      </x:c>
      <x:c r="C172" s="3" t="str">
        <x:v>Monohydrate</x:v>
      </x:c>
      <x:c r="D172" s="3" t="str">
        <x:v>Micronized</x:v>
      </x:c>
      <x:c r="E172" s="3" t="str">
        <x:v>Not specified</x:v>
      </x:c>
      <x:c r="F172" s="3" t="str">
        <x:v>With HMB</x:v>
      </x:c>
      <x:c r="G172" s="3" t="str">
        <x:v>Green Apple</x:v>
      </x:c>
      <x:c r="H172" s="3" t="str">
        <x:v>Standard pack</x:v>
      </x:c>
      <x:c r="I172" s="13" t="n">
        <x:v>300</x:v>
      </x:c>
      <x:c r="J172" s="14" t="n">
        <x:v>999</x:v>
      </x:c>
      <x:c r="K172" s="11" t="n">
        <x:f>J172/I172</x:f>
        <x:v>3.33</x:v>
      </x:c>
      <x:c r="L172" s="13" t="n">
        <x:v>46.15384615384615</x:v>
      </x:c>
      <x:c r="M172" s="15" t="n">
        <x:f>IF(OR(L172="",L172=0),"",J172/(I172*L172/100))</x:f>
        <x:v>7.215000000000001</x:v>
      </x:c>
      <x:c r="N172" s="15" t="n">
        <x:f>IF(M172="","",M172*3)</x:f>
        <x:v>21.645000000000003</x:v>
      </x:c>
      <x:c r="O172" s="10"/>
      <x:c r="P172" s="10" t="n">
        <x:v>6.5</x:v>
      </x:c>
      <x:c r="Q172" s="10" t="n">
        <x:v>3</x:v>
      </x:c>
      <x:c r="R172" s="10"/>
      <x:c r="S172" s="3" t="str">
        <x:v>Sold out</x:v>
      </x:c>
      <x:c r="T172" s="12" t="d">
        <x:v>2026-10-25T00:00:00.000Z</x:v>
      </x:c>
      <x:c r="U172" s="3" t="str">
        <x:v>cr-166</x:v>
      </x:c>
      <x:c r="V172" s="3" t="str">
        <x:v>Brand: 3g creatine monohydrate plus 3g HMB in a 6.5g serving. HMB is a co-ingredient; chemical creatine type remains monohydrate. Scoop weight not stated.</x:v>
      </x:c>
      <x:c r="W172" s="3"/>
      <x:c r="X172" s="3" t="str">
        <x:v>https://nutrabox.in/products/creatine-hmb?variant=44202531651758</x:v>
      </x:c>
      <x:c r="Y172" s="3" t="str">
        <x:v>https://nutrabox.in/products/creatine-hmb?variant=44202531651758</x:v>
      </x:c>
      <x:c r="Z172" s="3" t="str">
        <x:v>Brand: 3g creatine monohydrate plus 3g HMB in a 6.5g serving.</x:v>
      </x:c>
      <x:c r="AA172" s="3" t="str"/>
    </x:row>
    <x:row r="173" ht="44" customHeight="1">
      <x:c r="A173" s="3" t="str">
        <x:v>Nutrabox</x:v>
      </x:c>
      <x:c r="B173" s="3" t="str">
        <x:v>Creatine HMB</x:v>
      </x:c>
      <x:c r="C173" s="3" t="str">
        <x:v>Monohydrate</x:v>
      </x:c>
      <x:c r="D173" s="3" t="str">
        <x:v>Micronized</x:v>
      </x:c>
      <x:c r="E173" s="3" t="str">
        <x:v>Not specified</x:v>
      </x:c>
      <x:c r="F173" s="3" t="str">
        <x:v>With HMB</x:v>
      </x:c>
      <x:c r="G173" s="3" t="str">
        <x:v>Orange</x:v>
      </x:c>
      <x:c r="H173" s="3" t="str">
        <x:v>Standard pack</x:v>
      </x:c>
      <x:c r="I173" s="13" t="n">
        <x:v>300</x:v>
      </x:c>
      <x:c r="J173" s="14" t="n">
        <x:v>999</x:v>
      </x:c>
      <x:c r="K173" s="11" t="n">
        <x:f>J173/I173</x:f>
        <x:v>3.33</x:v>
      </x:c>
      <x:c r="L173" s="13" t="n">
        <x:v>46.15384615384615</x:v>
      </x:c>
      <x:c r="M173" s="15" t="n">
        <x:f>IF(OR(L173="",L173=0),"",J173/(I173*L173/100))</x:f>
        <x:v>7.215000000000001</x:v>
      </x:c>
      <x:c r="N173" s="15" t="n">
        <x:f>IF(M173="","",M173*3)</x:f>
        <x:v>21.645000000000003</x:v>
      </x:c>
      <x:c r="O173" s="10"/>
      <x:c r="P173" s="10" t="n">
        <x:v>6.5</x:v>
      </x:c>
      <x:c r="Q173" s="10" t="n">
        <x:v>3</x:v>
      </x:c>
      <x:c r="R173" s="10"/>
      <x:c r="S173" s="3" t="str">
        <x:v>Sold out</x:v>
      </x:c>
      <x:c r="T173" s="12" t="d">
        <x:v>2026-10-25T00:00:00.000Z</x:v>
      </x:c>
      <x:c r="U173" s="3" t="str">
        <x:v>cr-167</x:v>
      </x:c>
      <x:c r="V173" s="3" t="str">
        <x:v>Brand: 3g creatine monohydrate plus 3g HMB in a 6.5g serving. HMB is a co-ingredient; chemical creatine type remains monohydrate. Scoop weight not stated.</x:v>
      </x:c>
      <x:c r="W173" s="3"/>
      <x:c r="X173" s="3" t="str">
        <x:v>https://nutrabox.in/products/creatine-hmb?variant=44202531684526</x:v>
      </x:c>
      <x:c r="Y173" s="3" t="str">
        <x:v>https://nutrabox.in/products/creatine-hmb?variant=44202531684526</x:v>
      </x:c>
      <x:c r="Z173" s="3" t="str">
        <x:v>Brand: 3g creatine monohydrate plus 3g HMB in a 6.5g serving.</x:v>
      </x:c>
      <x:c r="AA173" s="3" t="str"/>
    </x:row>
    <x:row r="174" ht="44" customHeight="1">
      <x:c r="A174" s="3" t="str">
        <x:v>Nutrabox</x:v>
      </x:c>
      <x:c r="B174" s="3" t="str">
        <x:v>Creatine Monohydrate made with Creapure®</x:v>
      </x:c>
      <x:c r="C174" s="3" t="str">
        <x:v>Monohydrate</x:v>
      </x:c>
      <x:c r="D174" s="3" t="str">
        <x:v>Not specified</x:v>
      </x:c>
      <x:c r="E174" s="3" t="str">
        <x:v>Creapure®</x:v>
      </x:c>
      <x:c r="F174" s="3" t="str">
        <x:v>Not specified</x:v>
      </x:c>
      <x:c r="G174" s="3" t="str">
        <x:v>Not specified</x:v>
      </x:c>
      <x:c r="H174" s="3" t="str">
        <x:v>Standard pack</x:v>
      </x:c>
      <x:c r="I174" s="13" t="n">
        <x:v>100</x:v>
      </x:c>
      <x:c r="J174" s="14" t="n">
        <x:v>599</x:v>
      </x:c>
      <x:c r="K174" s="11" t="n">
        <x:f>J174/I174</x:f>
        <x:v>5.99</x:v>
      </x:c>
      <x:c r="L174" s="13"/>
      <x:c r="M174" s="15" t="str">
        <x:f>IF(OR(L174="",L174=0),"",J174/(I174*L174/100))</x:f>
      </x:c>
      <x:c r="N174" s="15" t="str">
        <x:f>IF(M174="","",M174*3)</x:f>
      </x:c>
      <x:c r="O174" s="10"/>
      <x:c r="P174" s="10"/>
      <x:c r="Q174" s="10" t="n">
        <x:v>3</x:v>
      </x:c>
      <x:c r="R174" s="10"/>
      <x:c r="S174" s="3" t="str">
        <x:v>In stock</x:v>
      </x:c>
      <x:c r="T174" s="12" t="d">
        <x:v>2026-10-25T00:00:00.000Z</x:v>
      </x:c>
      <x:c r="U174" s="3" t="str">
        <x:v>cr-168</x:v>
      </x:c>
      <x:c r="V174" s="3" t="str">
        <x:v>Creatine compound concentration not verified; compound cost omitted. Creapure is an ingredient trademark, not a distinct chemical form. Exact powder serving weight not verified.</x:v>
      </x:c>
      <x:c r="W174" s="3"/>
      <x:c r="X174" s="3" t="str">
        <x:v>https://nutrabox.in/products/buy-creapure-creatine?variant=46706493096110</x:v>
      </x:c>
      <x:c r="Y174" s="3" t="str">
        <x:v>https://nutrabox.in/products/buy-creapure-creatine?variant=46706493096110</x:v>
      </x:c>
      <x:c r="Z174" s="3" t="str">
        <x:v>Creatine compound concentration not verified; compound cost omitted.</x:v>
      </x:c>
      <x:c r="AA174" s="3" t="str"/>
    </x:row>
    <x:row r="175" ht="44" customHeight="1">
      <x:c r="A175" s="3" t="str">
        <x:v>Nutrabox</x:v>
      </x:c>
      <x:c r="B175" s="3" t="str">
        <x:v>Creatine Monohydrate made with Creapure®</x:v>
      </x:c>
      <x:c r="C175" s="3" t="str">
        <x:v>Monohydrate</x:v>
      </x:c>
      <x:c r="D175" s="3" t="str">
        <x:v>Not specified</x:v>
      </x:c>
      <x:c r="E175" s="3" t="str">
        <x:v>Creapure®</x:v>
      </x:c>
      <x:c r="F175" s="3" t="str">
        <x:v>Not specified</x:v>
      </x:c>
      <x:c r="G175" s="3" t="str">
        <x:v>Not specified</x:v>
      </x:c>
      <x:c r="H175" s="3" t="str">
        <x:v>Standard pack</x:v>
      </x:c>
      <x:c r="I175" s="13" t="n">
        <x:v>300</x:v>
      </x:c>
      <x:c r="J175" s="14" t="n">
        <x:v>1599</x:v>
      </x:c>
      <x:c r="K175" s="11" t="n">
        <x:f>J175/I175</x:f>
        <x:v>5.33</x:v>
      </x:c>
      <x:c r="L175" s="13"/>
      <x:c r="M175" s="15" t="str">
        <x:f>IF(OR(L175="",L175=0),"",J175/(I175*L175/100))</x:f>
      </x:c>
      <x:c r="N175" s="15" t="str">
        <x:f>IF(M175="","",M175*3)</x:f>
      </x:c>
      <x:c r="O175" s="10"/>
      <x:c r="P175" s="10"/>
      <x:c r="Q175" s="10" t="n">
        <x:v>3</x:v>
      </x:c>
      <x:c r="R175" s="10"/>
      <x:c r="S175" s="3" t="str">
        <x:v>In stock</x:v>
      </x:c>
      <x:c r="T175" s="12" t="d">
        <x:v>2026-10-25T00:00:00.000Z</x:v>
      </x:c>
      <x:c r="U175" s="3" t="str">
        <x:v>cr-169</x:v>
      </x:c>
      <x:c r="V175" s="3" t="str">
        <x:v>Creatine compound concentration not verified; compound cost omitted. Creapure is an ingredient trademark, not a distinct chemical form. Exact powder serving weight not verified.</x:v>
      </x:c>
      <x:c r="W175" s="3"/>
      <x:c r="X175" s="3" t="str">
        <x:v>https://nutrabox.in/products/buy-creapure-creatine?variant=44377179586734</x:v>
      </x:c>
      <x:c r="Y175" s="3" t="str">
        <x:v>https://nutrabox.in/products/buy-creapure-creatine?variant=44377179586734</x:v>
      </x:c>
      <x:c r="Z175" s="3" t="str">
        <x:v>Creatine compound concentration not verified; compound cost omitted.</x:v>
      </x:c>
      <x:c r="AA175" s="3" t="str"/>
    </x:row>
    <x:row r="176" ht="44" customHeight="1">
      <x:c r="A176" s="3" t="str">
        <x:v>NutriJa</x:v>
      </x:c>
      <x:c r="B176" s="3" t="str">
        <x:v>Creatine HCL</x:v>
      </x:c>
      <x:c r="C176" s="3" t="str">
        <x:v>Hydrochloride (HCl)</x:v>
      </x:c>
      <x:c r="D176" s="3" t="str">
        <x:v>Not specified</x:v>
      </x:c>
      <x:c r="E176" s="3" t="str">
        <x:v>Not specified</x:v>
      </x:c>
      <x:c r="F176" s="3" t="str">
        <x:v>Single ingredient</x:v>
      </x:c>
      <x:c r="G176" s="3" t="str">
        <x:v>Unflavoured</x:v>
      </x:c>
      <x:c r="H176" s="3" t="str">
        <x:v>Standard pack</x:v>
      </x:c>
      <x:c r="I176" s="13" t="n">
        <x:v>100</x:v>
      </x:c>
      <x:c r="J176" s="14" t="n">
        <x:v>621.31</x:v>
      </x:c>
      <x:c r="K176" s="11" t="n">
        <x:f>J176/I176</x:f>
        <x:v>6.2131</x:v>
      </x:c>
      <x:c r="L176" s="13" t="n">
        <x:v>100</x:v>
      </x:c>
      <x:c r="M176" s="15" t="n">
        <x:f>IF(OR(L176="",L176=0),"",J176/(I176*L176/100))</x:f>
        <x:v>6.2131</x:v>
      </x:c>
      <x:c r="N176" s="15" t="n">
        <x:f>IF(M176="","",M176*3)</x:f>
        <x:v>18.6393</x:v>
      </x:c>
      <x:c r="O176" s="10" t="n">
        <x:v>2</x:v>
      </x:c>
      <x:c r="P176" s="10" t="n">
        <x:v>2</x:v>
      </x:c>
      <x:c r="Q176" s="10" t="n">
        <x:v>2</x:v>
      </x:c>
      <x:c r="R176" s="10"/>
      <x:c r="S176" s="3" t="str">
        <x:v>Listed; confirm stock</x:v>
      </x:c>
      <x:c r="T176" s="12" t="d">
        <x:v>2026-10-25T00:00:00.000Z</x:v>
      </x:c>
      <x:c r="U176" s="3" t="str">
        <x:v>cr-170</x:v>
      </x:c>
      <x:c r="V176" s="3" t="str">
        <x:v>Official supplement facts: 2g of the named creatine compound in a 2g serving. Exact child finalPrice used, including paise; headline price is rounded. Select the stated pack size on the source page. Compound mass includes the HCl/nitrate portion; not free-creatine mass.</x:v>
      </x:c>
      <x:c r="W176" s="3"/>
      <x:c r="X176" s="3" t="str">
        <x:v>https://nutrija.com/creatine-hcl</x:v>
      </x:c>
      <x:c r="Y176" s="3" t="str">
        <x:v>https://nutrija.com/creatine-hcl</x:v>
      </x:c>
      <x:c r="Z176" s="3" t="str">
        <x:v>Official supplement facts: 2g of the named creatine compound in a 2g serving.</x:v>
      </x:c>
      <x:c r="AA176" s="3" t="str"/>
    </x:row>
    <x:row r="177" ht="44" customHeight="1">
      <x:c r="A177" s="3" t="str">
        <x:v>NutriJa</x:v>
      </x:c>
      <x:c r="B177" s="3" t="str">
        <x:v>Creatine HCL</x:v>
      </x:c>
      <x:c r="C177" s="3" t="str">
        <x:v>Hydrochloride (HCl)</x:v>
      </x:c>
      <x:c r="D177" s="3" t="str">
        <x:v>Not specified</x:v>
      </x:c>
      <x:c r="E177" s="3" t="str">
        <x:v>Not specified</x:v>
      </x:c>
      <x:c r="F177" s="3" t="str">
        <x:v>Single ingredient</x:v>
      </x:c>
      <x:c r="G177" s="3" t="str">
        <x:v>Unflavoured</x:v>
      </x:c>
      <x:c r="H177" s="3" t="str">
        <x:v>Standard pack</x:v>
      </x:c>
      <x:c r="I177" s="13" t="n">
        <x:v>200</x:v>
      </x:c>
      <x:c r="J177" s="14" t="n">
        <x:v>1118.51</x:v>
      </x:c>
      <x:c r="K177" s="11" t="n">
        <x:f>J177/I177</x:f>
        <x:v>5.59255</x:v>
      </x:c>
      <x:c r="L177" s="13" t="n">
        <x:v>100</x:v>
      </x:c>
      <x:c r="M177" s="15" t="n">
        <x:f>IF(OR(L177="",L177=0),"",J177/(I177*L177/100))</x:f>
        <x:v>5.59255</x:v>
      </x:c>
      <x:c r="N177" s="15" t="n">
        <x:f>IF(M177="","",M177*3)</x:f>
        <x:v>16.77765</x:v>
      </x:c>
      <x:c r="O177" s="10" t="n">
        <x:v>2</x:v>
      </x:c>
      <x:c r="P177" s="10" t="n">
        <x:v>2</x:v>
      </x:c>
      <x:c r="Q177" s="10" t="n">
        <x:v>2</x:v>
      </x:c>
      <x:c r="R177" s="10"/>
      <x:c r="S177" s="3" t="str">
        <x:v>Listed; confirm stock</x:v>
      </x:c>
      <x:c r="T177" s="12" t="d">
        <x:v>2026-10-25T00:00:00.000Z</x:v>
      </x:c>
      <x:c r="U177" s="3" t="str">
        <x:v>cr-171</x:v>
      </x:c>
      <x:c r="V177" s="3" t="str">
        <x:v>Official supplement facts: 2g of the named creatine compound in a 2g serving. Exact child finalPrice used, including paise; headline price is rounded. Select the stated pack size on the source page. Compound mass includes the HCl/nitrate portion; not free-creatine mass.</x:v>
      </x:c>
      <x:c r="W177" s="3"/>
      <x:c r="X177" s="3" t="str">
        <x:v>https://nutrija.com/creatine-hcl</x:v>
      </x:c>
      <x:c r="Y177" s="3" t="str">
        <x:v>https://nutrija.com/creatine-hcl</x:v>
      </x:c>
      <x:c r="Z177" s="3" t="str">
        <x:v>Official supplement facts: 2g of the named creatine compound in a 2g serving.</x:v>
      </x:c>
      <x:c r="AA177" s="3" t="str"/>
    </x:row>
    <x:row r="178" ht="44" customHeight="1">
      <x:c r="A178" s="3" t="str">
        <x:v>NutriJa</x:v>
      </x:c>
      <x:c r="B178" s="3" t="str">
        <x:v>Creatine HCL</x:v>
      </x:c>
      <x:c r="C178" s="3" t="str">
        <x:v>Hydrochloride (HCl)</x:v>
      </x:c>
      <x:c r="D178" s="3" t="str">
        <x:v>Not specified</x:v>
      </x:c>
      <x:c r="E178" s="3" t="str">
        <x:v>Not specified</x:v>
      </x:c>
      <x:c r="F178" s="3" t="str">
        <x:v>Single ingredient</x:v>
      </x:c>
      <x:c r="G178" s="3" t="str">
        <x:v>Unflavoured</x:v>
      </x:c>
      <x:c r="H178" s="3" t="str">
        <x:v>Standard pack</x:v>
      </x:c>
      <x:c r="I178" s="13" t="n">
        <x:v>500</x:v>
      </x:c>
      <x:c r="J178" s="14" t="n">
        <x:v>2556.6</x:v>
      </x:c>
      <x:c r="K178" s="11" t="n">
        <x:f>J178/I178</x:f>
        <x:v>5.1132</x:v>
      </x:c>
      <x:c r="L178" s="13" t="n">
        <x:v>100</x:v>
      </x:c>
      <x:c r="M178" s="15" t="n">
        <x:f>IF(OR(L178="",L178=0),"",J178/(I178*L178/100))</x:f>
        <x:v>5.1132</x:v>
      </x:c>
      <x:c r="N178" s="15" t="n">
        <x:f>IF(M178="","",M178*3)</x:f>
        <x:v>15.3396</x:v>
      </x:c>
      <x:c r="O178" s="10" t="n">
        <x:v>2</x:v>
      </x:c>
      <x:c r="P178" s="10" t="n">
        <x:v>2</x:v>
      </x:c>
      <x:c r="Q178" s="10" t="n">
        <x:v>2</x:v>
      </x:c>
      <x:c r="R178" s="10"/>
      <x:c r="S178" s="3" t="str">
        <x:v>Listed; confirm stock</x:v>
      </x:c>
      <x:c r="T178" s="12" t="d">
        <x:v>2026-10-25T00:00:00.000Z</x:v>
      </x:c>
      <x:c r="U178" s="3" t="str">
        <x:v>cr-172</x:v>
      </x:c>
      <x:c r="V178" s="3" t="str">
        <x:v>Official supplement facts: 2g of the named creatine compound in a 2g serving. Exact child finalPrice used, including paise; headline price is rounded. Select the stated pack size on the source page. Compound mass includes the HCl/nitrate portion; not free-creatine mass.</x:v>
      </x:c>
      <x:c r="W178" s="3"/>
      <x:c r="X178" s="3" t="str">
        <x:v>https://nutrija.com/creatine-hcl</x:v>
      </x:c>
      <x:c r="Y178" s="3" t="str">
        <x:v>https://nutrija.com/creatine-hcl</x:v>
      </x:c>
      <x:c r="Z178" s="3" t="str">
        <x:v>Official supplement facts: 2g of the named creatine compound in a 2g serving.</x:v>
      </x:c>
      <x:c r="AA178" s="3" t="str"/>
    </x:row>
    <x:row r="179" ht="44" customHeight="1">
      <x:c r="A179" s="3" t="str">
        <x:v>NutriJa</x:v>
      </x:c>
      <x:c r="B179" s="3" t="str">
        <x:v>Creatine Nitrate</x:v>
      </x:c>
      <x:c r="C179" s="3" t="str">
        <x:v>Nitrate</x:v>
      </x:c>
      <x:c r="D179" s="3" t="str">
        <x:v>Not specified</x:v>
      </x:c>
      <x:c r="E179" s="3" t="str">
        <x:v>Not specified</x:v>
      </x:c>
      <x:c r="F179" s="3" t="str">
        <x:v>Single ingredient</x:v>
      </x:c>
      <x:c r="G179" s="3" t="str">
        <x:v>Unflavoured</x:v>
      </x:c>
      <x:c r="H179" s="3" t="str">
        <x:v>Standard pack</x:v>
      </x:c>
      <x:c r="I179" s="13" t="n">
        <x:v>100</x:v>
      </x:c>
      <x:c r="J179" s="14" t="n">
        <x:v>700.01</x:v>
      </x:c>
      <x:c r="K179" s="11" t="n">
        <x:f>J179/I179</x:f>
        <x:v>7.0001</x:v>
      </x:c>
      <x:c r="L179" s="13" t="n">
        <x:v>100</x:v>
      </x:c>
      <x:c r="M179" s="15" t="n">
        <x:f>IF(OR(L179="",L179=0),"",J179/(I179*L179/100))</x:f>
        <x:v>7.0001</x:v>
      </x:c>
      <x:c r="N179" s="15" t="n">
        <x:f>IF(M179="","",M179*3)</x:f>
        <x:v>21.0003</x:v>
      </x:c>
      <x:c r="O179" s="10"/>
      <x:c r="P179" s="10" t="n">
        <x:v>2</x:v>
      </x:c>
      <x:c r="Q179" s="10" t="n">
        <x:v>2</x:v>
      </x:c>
      <x:c r="R179" s="10"/>
      <x:c r="S179" s="3" t="str">
        <x:v>Listed; confirm stock</x:v>
      </x:c>
      <x:c r="T179" s="12" t="d">
        <x:v>2026-10-25T00:00:00.000Z</x:v>
      </x:c>
      <x:c r="U179" s="3" t="str">
        <x:v>cr-173</x:v>
      </x:c>
      <x:c r="V179" s="3" t="str">
        <x:v>Official supplement facts: 2g of the named creatine compound in a 2g serving. Exact child finalPrice used, including paise; headline price is rounded. Select the stated pack size on the source page. Compound mass includes the HCl/nitrate portion; not free-creatine mass. Brand separately describes nitrate as 67% creatine and 33% nitrate.</x:v>
      </x:c>
      <x:c r="W179" s="3"/>
      <x:c r="X179" s="3" t="str">
        <x:v>https://nutrija.com/creatine-nitrate</x:v>
      </x:c>
      <x:c r="Y179" s="3" t="str">
        <x:v>https://nutrija.com/creatine-nitrate</x:v>
      </x:c>
      <x:c r="Z179" s="3" t="str">
        <x:v>Official supplement facts: 2g of the named creatine compound in a 2g serving.</x:v>
      </x:c>
      <x:c r="AA179" s="3" t="str"/>
    </x:row>
    <x:row r="180" ht="44" customHeight="1">
      <x:c r="A180" s="3" t="str">
        <x:v>NutriJa</x:v>
      </x:c>
      <x:c r="B180" s="3" t="str">
        <x:v>Creatine Nitrate</x:v>
      </x:c>
      <x:c r="C180" s="3" t="str">
        <x:v>Nitrate</x:v>
      </x:c>
      <x:c r="D180" s="3" t="str">
        <x:v>Not specified</x:v>
      </x:c>
      <x:c r="E180" s="3" t="str">
        <x:v>Not specified</x:v>
      </x:c>
      <x:c r="F180" s="3" t="str">
        <x:v>Single ingredient</x:v>
      </x:c>
      <x:c r="G180" s="3" t="str">
        <x:v>Unflavoured</x:v>
      </x:c>
      <x:c r="H180" s="3" t="str">
        <x:v>Standard pack</x:v>
      </x:c>
      <x:c r="I180" s="13" t="n">
        <x:v>200</x:v>
      </x:c>
      <x:c r="J180" s="14" t="n">
        <x:v>1413.39</x:v>
      </x:c>
      <x:c r="K180" s="11" t="n">
        <x:f>J180/I180</x:f>
        <x:v>7.06695</x:v>
      </x:c>
      <x:c r="L180" s="13" t="n">
        <x:v>100</x:v>
      </x:c>
      <x:c r="M180" s="15" t="n">
        <x:f>IF(OR(L180="",L180=0),"",J180/(I180*L180/100))</x:f>
        <x:v>7.06695</x:v>
      </x:c>
      <x:c r="N180" s="15" t="n">
        <x:f>IF(M180="","",M180*3)</x:f>
        <x:v>21.200850000000003</x:v>
      </x:c>
      <x:c r="O180" s="10"/>
      <x:c r="P180" s="10" t="n">
        <x:v>2</x:v>
      </x:c>
      <x:c r="Q180" s="10" t="n">
        <x:v>2</x:v>
      </x:c>
      <x:c r="R180" s="10"/>
      <x:c r="S180" s="3" t="str">
        <x:v>Listed; confirm stock</x:v>
      </x:c>
      <x:c r="T180" s="12" t="d">
        <x:v>2026-10-25T00:00:00.000Z</x:v>
      </x:c>
      <x:c r="U180" s="3" t="str">
        <x:v>cr-174</x:v>
      </x:c>
      <x:c r="V180" s="3" t="str">
        <x:v>Official supplement facts: 2g of the named creatine compound in a 2g serving. Exact child finalPrice used, including paise; headline price is rounded. Select the stated pack size on the source page. Compound mass includes the HCl/nitrate portion; not free-creatine mass. Brand separately describes nitrate as 67% creatine and 33% nitrate.</x:v>
      </x:c>
      <x:c r="W180" s="3"/>
      <x:c r="X180" s="3" t="str">
        <x:v>https://nutrija.com/creatine-nitrate</x:v>
      </x:c>
      <x:c r="Y180" s="3" t="str">
        <x:v>https://nutrija.com/creatine-nitrate</x:v>
      </x:c>
      <x:c r="Z180" s="3" t="str">
        <x:v>Official supplement facts: 2g of the named creatine compound in a 2g serving.</x:v>
      </x:c>
      <x:c r="AA180" s="3" t="str"/>
    </x:row>
    <x:row r="181" ht="44" customHeight="1">
      <x:c r="A181" s="3" t="str">
        <x:v>Optimum Nutrition</x:v>
      </x:c>
      <x:c r="B181" s="3" t="str">
        <x:v>Micronized Creatine Monohydrate</x:v>
      </x:c>
      <x:c r="C181" s="3" t="str">
        <x:v>Monohydrate</x:v>
      </x:c>
      <x:c r="D181" s="3" t="str">
        <x:v>Micronized</x:v>
      </x:c>
      <x:c r="E181" s="3" t="str">
        <x:v>Not specified</x:v>
      </x:c>
      <x:c r="F181" s="3" t="str">
        <x:v>Flavoured</x:v>
      </x:c>
      <x:c r="G181" s="3" t="str">
        <x:v>Citrus Orange</x:v>
      </x:c>
      <x:c r="H181" s="3" t="str">
        <x:v>Standard pack</x:v>
      </x:c>
      <x:c r="I181" s="13" t="n">
        <x:v>100</x:v>
      </x:c>
      <x:c r="J181" s="14" t="n">
        <x:v>479</x:v>
      </x:c>
      <x:c r="K181" s="11" t="n">
        <x:f>J181/I181</x:f>
        <x:v>4.79</x:v>
      </x:c>
      <x:c r="L181" s="13"/>
      <x:c r="M181" s="15" t="str">
        <x:f>IF(OR(L181="",L181=0),"",J181/(I181*L181/100))</x:f>
      </x:c>
      <x:c r="N181" s="15" t="str">
        <x:f>IF(M181="","",M181*3)</x:f>
      </x:c>
      <x:c r="O181" s="10"/>
      <x:c r="P181" s="10"/>
      <x:c r="Q181" s="10"/>
      <x:c r="R181" s="10"/>
      <x:c r="S181" s="3" t="str">
        <x:v>In stock</x:v>
      </x:c>
      <x:c r="T181" s="12" t="d">
        <x:v>2026-10-25T00:00:00.000Z</x:v>
      </x:c>
      <x:c r="U181" s="3" t="str">
        <x:v>cr-175</x:v>
      </x:c>
      <x:c r="V181" s="3" t="str">
        <x:v>Creatine compound concentration not verified; compound cost omitted. Flavoured powder has additives. Unflavoured 100% concentration was not applied.</x:v>
      </x:c>
      <x:c r="W181" s="3"/>
      <x:c r="X181" s="3" t="str">
        <x:v>https://www.optimumnutrition.co.in/products/optimum-nutrition-on-micronized-creatine-powder-100g-citrus-orange?variant=47275611062498</x:v>
      </x:c>
      <x:c r="Y181" s="3" t="str">
        <x:v>https://www.optimumnutrition.co.in/products/optimum-nutrition-on-micronized-creatine-powder-100g-citrus-orange?variant=47275611062498</x:v>
      </x:c>
      <x:c r="Z181" s="3" t="str">
        <x:v>Creatine compound concentration not verified; compound cost omitted.</x:v>
      </x:c>
      <x:c r="AA181" s="3" t="str"/>
    </x:row>
    <x:row r="182" ht="44" customHeight="1">
      <x:c r="A182" s="3" t="str">
        <x:v>Optimum Nutrition</x:v>
      </x:c>
      <x:c r="B182" s="3" t="str">
        <x:v>Micronized Creatine Monohydrate</x:v>
      </x:c>
      <x:c r="C182" s="3" t="str">
        <x:v>Monohydrate</x:v>
      </x:c>
      <x:c r="D182" s="3" t="str">
        <x:v>Micronized</x:v>
      </x:c>
      <x:c r="E182" s="3" t="str">
        <x:v>Not specified</x:v>
      </x:c>
      <x:c r="F182" s="3" t="str">
        <x:v>Flavoured</x:v>
      </x:c>
      <x:c r="G182" s="3" t="str">
        <x:v>Citrus Orange</x:v>
      </x:c>
      <x:c r="H182" s="3" t="str">
        <x:v>Standard pack</x:v>
      </x:c>
      <x:c r="I182" s="13" t="n">
        <x:v>250</x:v>
      </x:c>
      <x:c r="J182" s="14" t="n">
        <x:v>799</x:v>
      </x:c>
      <x:c r="K182" s="11" t="n">
        <x:f>J182/I182</x:f>
        <x:v>3.196</x:v>
      </x:c>
      <x:c r="L182" s="13"/>
      <x:c r="M182" s="15" t="str">
        <x:f>IF(OR(L182="",L182=0),"",J182/(I182*L182/100))</x:f>
      </x:c>
      <x:c r="N182" s="15" t="str">
        <x:f>IF(M182="","",M182*3)</x:f>
      </x:c>
      <x:c r="O182" s="10"/>
      <x:c r="P182" s="10"/>
      <x:c r="Q182" s="10"/>
      <x:c r="R182" s="10"/>
      <x:c r="S182" s="3" t="str">
        <x:v>In stock</x:v>
      </x:c>
      <x:c r="T182" s="12" t="d">
        <x:v>2026-10-25T00:00:00.000Z</x:v>
      </x:c>
      <x:c r="U182" s="3" t="str">
        <x:v>cr-176</x:v>
      </x:c>
      <x:c r="V182" s="3" t="str">
        <x:v>Creatine compound concentration not verified; compound cost omitted. Flavoured powder has additives. Unflavoured 100% concentration was not applied.</x:v>
      </x:c>
      <x:c r="W182" s="3"/>
      <x:c r="X182" s="3" t="str">
        <x:v>https://www.optimumnutrition.co.in/products/optimum-nutrition-on-micronized-creatine-powder-250g-citrus-orange?variant=47275626758370</x:v>
      </x:c>
      <x:c r="Y182" s="3" t="str">
        <x:v>https://www.optimumnutrition.co.in/products/optimum-nutrition-on-micronized-creatine-powder-250g-citrus-orange?variant=47275626758370</x:v>
      </x:c>
      <x:c r="Z182" s="3" t="str">
        <x:v>Creatine compound concentration not verified; compound cost omitted.</x:v>
      </x:c>
      <x:c r="AA182" s="3" t="str"/>
    </x:row>
    <x:row r="183" ht="44" customHeight="1">
      <x:c r="A183" s="3" t="str">
        <x:v>Optimum Nutrition</x:v>
      </x:c>
      <x:c r="B183" s="3" t="str">
        <x:v>Micronized Creatine Monohydrate</x:v>
      </x:c>
      <x:c r="C183" s="3" t="str">
        <x:v>Monohydrate</x:v>
      </x:c>
      <x:c r="D183" s="3" t="str">
        <x:v>Micronized</x:v>
      </x:c>
      <x:c r="E183" s="3" t="str">
        <x:v>Not specified</x:v>
      </x:c>
      <x:c r="F183" s="3" t="str">
        <x:v>Single ingredient</x:v>
      </x:c>
      <x:c r="G183" s="3" t="str">
        <x:v>Unflavoured</x:v>
      </x:c>
      <x:c r="H183" s="3" t="str">
        <x:v>Standard pack</x:v>
      </x:c>
      <x:c r="I183" s="13" t="n">
        <x:v>100</x:v>
      </x:c>
      <x:c r="J183" s="14" t="n">
        <x:v>479</x:v>
      </x:c>
      <x:c r="K183" s="11" t="n">
        <x:f>J183/I183</x:f>
        <x:v>4.79</x:v>
      </x:c>
      <x:c r="L183" s="13" t="n">
        <x:v>100</x:v>
      </x:c>
      <x:c r="M183" s="15" t="n">
        <x:f>IF(OR(L183="",L183=0),"",J183/(I183*L183/100))</x:f>
        <x:v>4.79</x:v>
      </x:c>
      <x:c r="N183" s="15" t="n">
        <x:f>IF(M183="","",M183*3)</x:f>
        <x:v>14.370000000000001</x:v>
      </x:c>
      <x:c r="O183" s="10"/>
      <x:c r="P183" s="10"/>
      <x:c r="Q183" s="10" t="n">
        <x:v>3</x:v>
      </x:c>
      <x:c r="R183" s="10" t="n">
        <x:v>0</x:v>
      </x:c>
      <x:c r="S183" s="3" t="str">
        <x:v>In stock</x:v>
      </x:c>
      <x:c r="T183" s="12" t="d">
        <x:v>2026-10-25T00:00:00.000Z</x:v>
      </x:c>
      <x:c r="U183" s="3" t="str">
        <x:v>cr-177</x:v>
      </x:c>
      <x:c r="V183" s="3" t="str">
        <x:v>Official ingredients: creatine monohydrate (100%).</x:v>
      </x:c>
      <x:c r="W183" s="3"/>
      <x:c r="X183" s="3" t="str">
        <x:v>https://www.optimumnutrition.co.in/products/micronized-creatine-powder-unflavoured-100-g-1145331?variant=46438068846818</x:v>
      </x:c>
      <x:c r="Y183" s="3" t="str">
        <x:v>https://www.optimumnutrition.co.in/products/micronized-creatine-powder-unflavoured-100-g-1145331?variant=46438068846818</x:v>
      </x:c>
      <x:c r="Z183" s="3" t="str">
        <x:v>Official ingredients: creatine monohydrate (100%).</x:v>
      </x:c>
      <x:c r="AA183" s="3" t="str">
        <x:v>Brand explicitly states zero calories.</x:v>
      </x:c>
    </x:row>
    <x:row r="184" ht="44" customHeight="1">
      <x:c r="A184" s="3" t="str">
        <x:v>Optimum Nutrition</x:v>
      </x:c>
      <x:c r="B184" s="3" t="str">
        <x:v>Micronized Creatine Monohydrate</x:v>
      </x:c>
      <x:c r="C184" s="3" t="str">
        <x:v>Monohydrate</x:v>
      </x:c>
      <x:c r="D184" s="3" t="str">
        <x:v>Micronized</x:v>
      </x:c>
      <x:c r="E184" s="3" t="str">
        <x:v>Not specified</x:v>
      </x:c>
      <x:c r="F184" s="3" t="str">
        <x:v>Single ingredient</x:v>
      </x:c>
      <x:c r="G184" s="3" t="str">
        <x:v>Unflavoured</x:v>
      </x:c>
      <x:c r="H184" s="3" t="str">
        <x:v>Standard pack</x:v>
      </x:c>
      <x:c r="I184" s="13" t="n">
        <x:v>250</x:v>
      </x:c>
      <x:c r="J184" s="14" t="n">
        <x:v>799</x:v>
      </x:c>
      <x:c r="K184" s="11" t="n">
        <x:f>J184/I184</x:f>
        <x:v>3.196</x:v>
      </x:c>
      <x:c r="L184" s="13" t="n">
        <x:v>100</x:v>
      </x:c>
      <x:c r="M184" s="15" t="n">
        <x:f>IF(OR(L184="",L184=0),"",J184/(I184*L184/100))</x:f>
        <x:v>3.196</x:v>
      </x:c>
      <x:c r="N184" s="15" t="n">
        <x:f>IF(M184="","",M184*3)</x:f>
        <x:v>9.588000000000001</x:v>
      </x:c>
      <x:c r="O184" s="10"/>
      <x:c r="P184" s="10"/>
      <x:c r="Q184" s="10" t="n">
        <x:v>3</x:v>
      </x:c>
      <x:c r="R184" s="10" t="n">
        <x:v>0</x:v>
      </x:c>
      <x:c r="S184" s="3" t="str">
        <x:v>In stock</x:v>
      </x:c>
      <x:c r="T184" s="12" t="d">
        <x:v>2026-10-25T00:00:00.000Z</x:v>
      </x:c>
      <x:c r="U184" s="3" t="str">
        <x:v>cr-178</x:v>
      </x:c>
      <x:c r="V184" s="3" t="str">
        <x:v>Official ingredients: creatine monohydrate (100%).</x:v>
      </x:c>
      <x:c r="W184" s="3"/>
      <x:c r="X184" s="3" t="str">
        <x:v>https://www.optimumnutrition.co.in/products/micronized-creatine-powder-unflavoured-1118952?variant=46438071173346</x:v>
      </x:c>
      <x:c r="Y184" s="3" t="str">
        <x:v>https://www.optimumnutrition.co.in/products/micronized-creatine-powder-unflavoured-1118952?variant=46438071173346</x:v>
      </x:c>
      <x:c r="Z184" s="3" t="str">
        <x:v>Official ingredients: creatine monohydrate (100%).</x:v>
      </x:c>
      <x:c r="AA184" s="3" t="str">
        <x:v>Brand explicitly states zero calories.</x:v>
      </x:c>
    </x:row>
    <x:row r="185" ht="44" customHeight="1">
      <x:c r="A185" s="3" t="str">
        <x:v>Wellbeing Nutrition</x:v>
      </x:c>
      <x:c r="B185" s="3" t="str">
        <x:v>Creatine Monohydrate</x:v>
      </x:c>
      <x:c r="C185" s="3" t="str">
        <x:v>Monohydrate</x:v>
      </x:c>
      <x:c r="D185" s="3" t="str">
        <x:v>Micronized</x:v>
      </x:c>
      <x:c r="E185" s="3" t="str">
        <x:v>Not specified</x:v>
      </x:c>
      <x:c r="F185" s="3" t="str">
        <x:v>With taurine</x:v>
      </x:c>
      <x:c r="G185" s="3" t="str">
        <x:v>Unflavoured</x:v>
      </x:c>
      <x:c r="H185" s="3" t="str">
        <x:v>Standard pack</x:v>
      </x:c>
      <x:c r="I185" s="13" t="n">
        <x:v>100</x:v>
      </x:c>
      <x:c r="J185" s="14" t="n">
        <x:v>494</x:v>
      </x:c>
      <x:c r="K185" s="11" t="n">
        <x:f>J185/I185</x:f>
        <x:v>4.94</x:v>
      </x:c>
      <x:c r="L185" s="13" t="n">
        <x:v>90.90909090909092</x:v>
      </x:c>
      <x:c r="M185" s="15" t="n">
        <x:f>IF(OR(L185="",L185=0),"",J185/(I185*L185/100))</x:f>
        <x:v>5.433999999999999</x:v>
      </x:c>
      <x:c r="N185" s="15" t="n">
        <x:f>IF(M185="","",M185*3)</x:f>
        <x:v>16.302</x:v>
      </x:c>
      <x:c r="O185" s="10" t="n">
        <x:v>3.3</x:v>
      </x:c>
      <x:c r="P185" s="10" t="n">
        <x:v>3.3</x:v>
      </x:c>
      <x:c r="Q185" s="10" t="n">
        <x:v>3</x:v>
      </x:c>
      <x:c r="R185" s="10" t="n">
        <x:v>0</x:v>
      </x:c>
      <x:c r="S185" s="3" t="str">
        <x:v>In stock</x:v>
      </x:c>
      <x:c r="T185" s="12" t="d">
        <x:v>2026-10-25T00:00:00.000Z</x:v>
      </x:c>
      <x:c r="U185" s="3" t="str">
        <x:v>cr-179</x:v>
      </x:c>
      <x:c r="V185" s="3" t="str">
        <x:v>Official product label, visually verified: named creatine compound quantity; per100g stated or calculated from serving. Contains 300mg taurine as well as monohydrate. Verified label establishes the serving weight. 3g monohydrate and 0.3g taurine per approximate 3.3g scoop.</x:v>
      </x:c>
      <x:c r="W185" s="3"/>
      <x:c r="X185" s="3" t="str">
        <x:v>https://wellbeingnutrition.com/products/creatine-monohydrate-unflavored?variant=40976650076240</x:v>
      </x:c>
      <x:c r="Y185" s="3" t="str">
        <x:v>https://cdn.shopify.com/s/files/1/0240/2942/9840/files/BOP_b8231213-2d66-4139-a664-8fcde2b3b0cc.jpg?v=1764746597</x:v>
      </x:c>
      <x:c r="Z185" s="3" t="str">
        <x:v>Official product label, visually verified: named creatine compound quantity; per100g stated or calculated from serving.</x:v>
      </x:c>
      <x:c r="AA185" s="3" t="str">
        <x:v>Official label per100g energy or serving kcal × 100 / serving grams.</x:v>
      </x:c>
    </x:row>
    <x:row r="186" ht="44" customHeight="1">
      <x:c r="A186" s="3" t="str">
        <x:v>Wellcore</x:v>
      </x:c>
      <x:c r="B186" s="3" t="str">
        <x:v>Creatine Monohydrate</x:v>
      </x:c>
      <x:c r="C186" s="3" t="str">
        <x:v>Monohydrate</x:v>
      </x:c>
      <x:c r="D186" s="3" t="str">
        <x:v>Micronized</x:v>
      </x:c>
      <x:c r="E186" s="3" t="str">
        <x:v>Not specified</x:v>
      </x:c>
      <x:c r="F186" s="3" t="str">
        <x:v>Flavoured</x:v>
      </x:c>
      <x:c r="G186" s="3" t="str">
        <x:v>Fruit Fusion</x:v>
      </x:c>
      <x:c r="H186" s="3" t="str">
        <x:v>Standard pack</x:v>
      </x:c>
      <x:c r="I186" s="13" t="n">
        <x:v>122</x:v>
      </x:c>
      <x:c r="J186" s="14" t="n">
        <x:v>610</x:v>
      </x:c>
      <x:c r="K186" s="11" t="n">
        <x:f>J186/I186</x:f>
        <x:v>5</x:v>
      </x:c>
      <x:c r="L186" s="13" t="n">
        <x:v>81.08108108108108</x:v>
      </x:c>
      <x:c r="M186" s="15" t="n">
        <x:f>IF(OR(L186="",L186=0),"",J186/(I186*L186/100))</x:f>
        <x:v>6.166666666666667</x:v>
      </x:c>
      <x:c r="N186" s="15" t="n">
        <x:f>IF(M186="","",M186*3)</x:f>
        <x:v>18.5</x:v>
      </x:c>
      <x:c r="O186" s="10" t="n">
        <x:v>3.7</x:v>
      </x:c>
      <x:c r="P186" s="10" t="n">
        <x:v>3.7</x:v>
      </x:c>
      <x:c r="Q186" s="10" t="n">
        <x:v>3</x:v>
      </x:c>
      <x:c r="R186" s="10" t="n">
        <x:v>0</x:v>
      </x:c>
      <x:c r="S186" s="3" t="str">
        <x:v>In stock</x:v>
      </x:c>
      <x:c r="T186" s="12" t="d">
        <x:v>2026-10-25T00:00:00.000Z</x:v>
      </x:c>
      <x:c r="U186" s="3" t="str">
        <x:v>cr-180</x:v>
      </x:c>
      <x:c r="V186" s="3" t="str">
        <x:v>Official product label, visually verified: named creatine compound quantity; per100g stated or calculated from serving. Same product/flavour label used across both pack sizes.</x:v>
      </x:c>
      <x:c r="W186" s="3"/>
      <x:c r="X186" s="3" t="str">
        <x:v>https://wellversed.in/products/wellcore-pure-micronised-creatine-monohydrate-122g-33-servings-lab-tested-fruit-fusion-supports-athletic-performance-and-power?variant=46168063770876</x:v>
      </x:c>
      <x:c r="Y186" s="3" t="str">
        <x:v>https://cdn.shopify.com/s/files/1/0233/6459/9885/files/NI_33Serv_FruitFusionCREATINE_LISTING_WELLCORE_WELLVERSED_2.png?v=1730139784</x:v>
      </x:c>
      <x:c r="Z186" s="3" t="str">
        <x:v>Official product label, visually verified: named creatine compound quantity; per100g stated or calculated from serving.</x:v>
      </x:c>
      <x:c r="AA186" s="3" t="str">
        <x:v>Official label per100g energy or serving kcal × 100 / serving grams.</x:v>
      </x:c>
    </x:row>
    <x:row r="187" ht="44" customHeight="1">
      <x:c r="A187" s="3" t="str">
        <x:v>Wellcore</x:v>
      </x:c>
      <x:c r="B187" s="3" t="str">
        <x:v>Creatine Monohydrate</x:v>
      </x:c>
      <x:c r="C187" s="3" t="str">
        <x:v>Monohydrate</x:v>
      </x:c>
      <x:c r="D187" s="3" t="str">
        <x:v>Micronized</x:v>
      </x:c>
      <x:c r="E187" s="3" t="str">
        <x:v>Not specified</x:v>
      </x:c>
      <x:c r="F187" s="3" t="str">
        <x:v>Flavoured</x:v>
      </x:c>
      <x:c r="G187" s="3" t="str">
        <x:v>Fruit Fusion</x:v>
      </x:c>
      <x:c r="H187" s="3" t="str">
        <x:v>Standard pack</x:v>
      </x:c>
      <x:c r="I187" s="13" t="n">
        <x:v>307</x:v>
      </x:c>
      <x:c r="J187" s="14" t="n">
        <x:v>1188</x:v>
      </x:c>
      <x:c r="K187" s="11" t="n">
        <x:f>J187/I187</x:f>
        <x:v>3.8697068403908794</x:v>
      </x:c>
      <x:c r="L187" s="13" t="n">
        <x:v>81.08108108108108</x:v>
      </x:c>
      <x:c r="M187" s="15" t="n">
        <x:f>IF(OR(L187="",L187=0),"",J187/(I187*L187/100))</x:f>
        <x:v>4.772638436482084</x:v>
      </x:c>
      <x:c r="N187" s="15" t="n">
        <x:f>IF(M187="","",M187*3)</x:f>
        <x:v>14.317915309446253</x:v>
      </x:c>
      <x:c r="O187" s="10" t="n">
        <x:v>3.7</x:v>
      </x:c>
      <x:c r="P187" s="10" t="n">
        <x:v>3.7</x:v>
      </x:c>
      <x:c r="Q187" s="10" t="n">
        <x:v>3</x:v>
      </x:c>
      <x:c r="R187" s="10" t="n">
        <x:v>0</x:v>
      </x:c>
      <x:c r="S187" s="3" t="str">
        <x:v>In stock</x:v>
      </x:c>
      <x:c r="T187" s="12" t="d">
        <x:v>2026-10-25T00:00:00.000Z</x:v>
      </x:c>
      <x:c r="U187" s="3" t="str">
        <x:v>cr-181</x:v>
      </x:c>
      <x:c r="V187" s="3" t="str">
        <x:v>Official product label, visually verified: named creatine compound quantity; per100g stated or calculated from serving. Same product/flavour label used across both pack sizes.</x:v>
      </x:c>
      <x:c r="W187" s="3"/>
      <x:c r="X187" s="3" t="str">
        <x:v>https://wellversed.in/products/wellcore-pure-micronised-creatine-monohydrate-307g-83-servings-lab-tested-fruit-fusion-supports-athletic-performance-and-power?variant=46168510923004</x:v>
      </x:c>
      <x:c r="Y187" s="3" t="str">
        <x:v>https://cdn.shopify.com/s/files/1/0233/6459/9885/files/NI_33Serv_FruitFusionCREATINE_LISTING_WELLCORE_WELLVERSED_2.png?v=1730139784</x:v>
      </x:c>
      <x:c r="Z187" s="3" t="str">
        <x:v>Official product label, visually verified: named creatine compound quantity; per100g stated or calculated from serving.</x:v>
      </x:c>
      <x:c r="AA187" s="3" t="str">
        <x:v>Official label per100g energy or serving kcal × 100 / serving grams.</x:v>
      </x:c>
    </x:row>
    <x:row r="188" ht="44" customHeight="1">
      <x:c r="A188" s="3" t="str">
        <x:v>Wellcore</x:v>
      </x:c>
      <x:c r="B188" s="3" t="str">
        <x:v>Creatine Monohydrate</x:v>
      </x:c>
      <x:c r="C188" s="3" t="str">
        <x:v>Monohydrate</x:v>
      </x:c>
      <x:c r="D188" s="3" t="str">
        <x:v>Micronized</x:v>
      </x:c>
      <x:c r="E188" s="3" t="str">
        <x:v>Not specified</x:v>
      </x:c>
      <x:c r="F188" s="3" t="str">
        <x:v>Flavoured</x:v>
      </x:c>
      <x:c r="G188" s="3" t="str">
        <x:v>Kiwi Kick</x:v>
      </x:c>
      <x:c r="H188" s="3" t="str">
        <x:v>Standard pack</x:v>
      </x:c>
      <x:c r="I188" s="13" t="n">
        <x:v>122</x:v>
      </x:c>
      <x:c r="J188" s="14" t="n">
        <x:v>610</x:v>
      </x:c>
      <x:c r="K188" s="11" t="n">
        <x:f>J188/I188</x:f>
        <x:v>5</x:v>
      </x:c>
      <x:c r="L188" s="13" t="n">
        <x:v>81.08108108108108</x:v>
      </x:c>
      <x:c r="M188" s="15" t="n">
        <x:f>IF(OR(L188="",L188=0),"",J188/(I188*L188/100))</x:f>
        <x:v>6.166666666666667</x:v>
      </x:c>
      <x:c r="N188" s="15" t="n">
        <x:f>IF(M188="","",M188*3)</x:f>
        <x:v>18.5</x:v>
      </x:c>
      <x:c r="O188" s="10" t="n">
        <x:v>3.7</x:v>
      </x:c>
      <x:c r="P188" s="10" t="n">
        <x:v>3.7</x:v>
      </x:c>
      <x:c r="Q188" s="10" t="n">
        <x:v>3</x:v>
      </x:c>
      <x:c r="R188" s="10" t="n">
        <x:v>0</x:v>
      </x:c>
      <x:c r="S188" s="3" t="str">
        <x:v>In stock</x:v>
      </x:c>
      <x:c r="T188" s="12" t="d">
        <x:v>2026-10-25T00:00:00.000Z</x:v>
      </x:c>
      <x:c r="U188" s="3" t="str">
        <x:v>cr-182</x:v>
      </x:c>
      <x:c r="V188" s="3" t="str">
        <x:v>Official product label, visually verified: named creatine compound quantity; per100g stated or calculated from serving. Same product/flavour label used across both pack sizes.</x:v>
      </x:c>
      <x:c r="W188" s="3"/>
      <x:c r="X188" s="3" t="str">
        <x:v>https://wellversed.in/products/wellcore-pure-micronised-creatine-monohydrate-kiwi-kick-122g-33-servings-rapid-absorption-enhanced-muscle-strength-power-fast-recovery-increased-muscle-mass-1?variant=47196032532732</x:v>
      </x:c>
      <x:c r="Y188" s="3" t="str">
        <x:v>https://cdn.shopify.com/s/files/1/0233/6459/9885/files/ELI-3-2_KK33servings_Creatine_Listing_Wellcore.png?v=1748154115</x:v>
      </x:c>
      <x:c r="Z188" s="3" t="str">
        <x:v>Official product label, visually verified: named creatine compound quantity; per100g stated or calculated from serving.</x:v>
      </x:c>
      <x:c r="AA188" s="3" t="str">
        <x:v>Official label per100g energy or serving kcal × 100 / serving grams.</x:v>
      </x:c>
    </x:row>
    <x:row r="189" ht="44" customHeight="1">
      <x:c r="A189" s="3" t="str">
        <x:v>Wellcore</x:v>
      </x:c>
      <x:c r="B189" s="3" t="str">
        <x:v>Creatine Monohydrate</x:v>
      </x:c>
      <x:c r="C189" s="3" t="str">
        <x:v>Monohydrate</x:v>
      </x:c>
      <x:c r="D189" s="3" t="str">
        <x:v>Micronized</x:v>
      </x:c>
      <x:c r="E189" s="3" t="str">
        <x:v>Not specified</x:v>
      </x:c>
      <x:c r="F189" s="3" t="str">
        <x:v>Flavoured</x:v>
      </x:c>
      <x:c r="G189" s="3" t="str">
        <x:v>Kiwi Kick</x:v>
      </x:c>
      <x:c r="H189" s="3" t="str">
        <x:v>Standard pack</x:v>
      </x:c>
      <x:c r="I189" s="13" t="n">
        <x:v>307</x:v>
      </x:c>
      <x:c r="J189" s="14" t="n">
        <x:v>1188</x:v>
      </x:c>
      <x:c r="K189" s="11" t="n">
        <x:f>J189/I189</x:f>
        <x:v>3.8697068403908794</x:v>
      </x:c>
      <x:c r="L189" s="13" t="n">
        <x:v>81.08108108108108</x:v>
      </x:c>
      <x:c r="M189" s="15" t="n">
        <x:f>IF(OR(L189="",L189=0),"",J189/(I189*L189/100))</x:f>
        <x:v>4.772638436482084</x:v>
      </x:c>
      <x:c r="N189" s="15" t="n">
        <x:f>IF(M189="","",M189*3)</x:f>
        <x:v>14.317915309446253</x:v>
      </x:c>
      <x:c r="O189" s="10" t="n">
        <x:v>3.7</x:v>
      </x:c>
      <x:c r="P189" s="10" t="n">
        <x:v>3.7</x:v>
      </x:c>
      <x:c r="Q189" s="10" t="n">
        <x:v>3</x:v>
      </x:c>
      <x:c r="R189" s="10" t="n">
        <x:v>0</x:v>
      </x:c>
      <x:c r="S189" s="3" t="str">
        <x:v>In stock</x:v>
      </x:c>
      <x:c r="T189" s="12" t="d">
        <x:v>2026-10-25T00:00:00.000Z</x:v>
      </x:c>
      <x:c r="U189" s="3" t="str">
        <x:v>cr-183</x:v>
      </x:c>
      <x:c r="V189" s="3" t="str">
        <x:v>Official product label, visually verified: named creatine compound quantity; per100g stated or calculated from serving. Same product/flavour label used across both pack sizes.</x:v>
      </x:c>
      <x:c r="W189" s="3"/>
      <x:c r="X189" s="3" t="str">
        <x:v>https://wellversed.in/products/wellcore-pure-micronised-creatine-monohydrate-kiwi-kick-307-83-servings-rapid-absorption-enhanced-muscle-strength-power-fast-recovery-increased-muscle-mass?variant=47195986100476</x:v>
      </x:c>
      <x:c r="Y189" s="3" t="str">
        <x:v>https://cdn.shopify.com/s/files/1/0233/6459/9885/files/ELI-3-2_KK33servings_Creatine_Listing_Wellcore.png?v=1748154115</x:v>
      </x:c>
      <x:c r="Z189" s="3" t="str">
        <x:v>Official product label, visually verified: named creatine compound quantity; per100g stated or calculated from serving.</x:v>
      </x:c>
      <x:c r="AA189" s="3" t="str">
        <x:v>Official label per100g energy or serving kcal × 100 / serving grams.</x:v>
      </x:c>
    </x:row>
    <x:row r="190" ht="44" customHeight="1">
      <x:c r="A190" s="3" t="str">
        <x:v>Wellcore</x:v>
      </x:c>
      <x:c r="B190" s="3" t="str">
        <x:v>Creatine Monohydrate</x:v>
      </x:c>
      <x:c r="C190" s="3" t="str">
        <x:v>Monohydrate</x:v>
      </x:c>
      <x:c r="D190" s="3" t="str">
        <x:v>Micronized</x:v>
      </x:c>
      <x:c r="E190" s="3" t="str">
        <x:v>Not specified</x:v>
      </x:c>
      <x:c r="F190" s="3" t="str">
        <x:v>Flavoured</x:v>
      </x:c>
      <x:c r="G190" s="3" t="str">
        <x:v>Lemon Lime</x:v>
      </x:c>
      <x:c r="H190" s="3" t="str">
        <x:v>Standard pack</x:v>
      </x:c>
      <x:c r="I190" s="13" t="n">
        <x:v>149</x:v>
      </x:c>
      <x:c r="J190" s="14" t="n">
        <x:v>610</x:v>
      </x:c>
      <x:c r="K190" s="11" t="n">
        <x:f>J190/I190</x:f>
        <x:v>4.093959731543624</x:v>
      </x:c>
      <x:c r="L190" s="13" t="n">
        <x:v>66.66666666666666</x:v>
      </x:c>
      <x:c r="M190" s="15" t="n">
        <x:f>IF(OR(L190="",L190=0),"",J190/(I190*L190/100))</x:f>
        <x:v>6.1409395973154375</x:v>
      </x:c>
      <x:c r="N190" s="15" t="n">
        <x:f>IF(M190="","",M190*3)</x:f>
        <x:v>18.422818791946312</x:v>
      </x:c>
      <x:c r="O190" s="10" t="n">
        <x:v>4.5</x:v>
      </x:c>
      <x:c r="P190" s="10" t="n">
        <x:v>4.5</x:v>
      </x:c>
      <x:c r="Q190" s="10" t="n">
        <x:v>3</x:v>
      </x:c>
      <x:c r="R190" s="10" t="n">
        <x:v>0</x:v>
      </x:c>
      <x:c r="S190" s="3" t="str">
        <x:v>In stock</x:v>
      </x:c>
      <x:c r="T190" s="12" t="d">
        <x:v>2026-10-25T00:00:00.000Z</x:v>
      </x:c>
      <x:c r="U190" s="3" t="str">
        <x:v>cr-184</x:v>
      </x:c>
      <x:c r="V190" s="3" t="str">
        <x:v>Official product label, visually verified: named creatine compound quantity; per100g stated or calculated from serving. 374g label used for same product/flavour in both pack sizes.</x:v>
      </x:c>
      <x:c r="W190" s="3"/>
      <x:c r="X190" s="3" t="str">
        <x:v>https://wellversed.in/products/wellcore-pure-micronised-creatine-monohydrate-149g-33-servings-lemon-lime?variant=48942464073980</x:v>
      </x:c>
      <x:c r="Y190" s="3" t="str">
        <x:v>https://cdn.shopify.com/s/files/1/0233/6459/9885/files/Left_LL83servings_Creatine_Listing_Wellcore.jpg?v=1775804194</x:v>
      </x:c>
      <x:c r="Z190" s="3" t="str">
        <x:v>Official product label, visually verified: named creatine compound quantity; per100g stated or calculated from serving.</x:v>
      </x:c>
      <x:c r="AA190" s="3" t="str">
        <x:v>Official label per100g energy or serving kcal × 100 / serving grams.</x:v>
      </x:c>
    </x:row>
    <x:row r="191" ht="44" customHeight="1">
      <x:c r="A191" s="3" t="str">
        <x:v>Wellcore</x:v>
      </x:c>
      <x:c r="B191" s="3" t="str">
        <x:v>Creatine Monohydrate</x:v>
      </x:c>
      <x:c r="C191" s="3" t="str">
        <x:v>Monohydrate</x:v>
      </x:c>
      <x:c r="D191" s="3" t="str">
        <x:v>Micronized</x:v>
      </x:c>
      <x:c r="E191" s="3" t="str">
        <x:v>Not specified</x:v>
      </x:c>
      <x:c r="F191" s="3" t="str">
        <x:v>Flavoured</x:v>
      </x:c>
      <x:c r="G191" s="3" t="str">
        <x:v>Lemon Lime</x:v>
      </x:c>
      <x:c r="H191" s="3" t="str">
        <x:v>Standard pack</x:v>
      </x:c>
      <x:c r="I191" s="13" t="n">
        <x:v>374</x:v>
      </x:c>
      <x:c r="J191" s="14" t="n">
        <x:v>1188</x:v>
      </x:c>
      <x:c r="K191" s="11" t="n">
        <x:f>J191/I191</x:f>
        <x:v>3.176470588235294</x:v>
      </x:c>
      <x:c r="L191" s="13" t="n">
        <x:v>66.66666666666666</x:v>
      </x:c>
      <x:c r="M191" s="15" t="n">
        <x:f>IF(OR(L191="",L191=0),"",J191/(I191*L191/100))</x:f>
        <x:v>4.764705882352942</x:v>
      </x:c>
      <x:c r="N191" s="15" t="n">
        <x:f>IF(M191="","",M191*3)</x:f>
        <x:v>14.294117647058826</x:v>
      </x:c>
      <x:c r="O191" s="10" t="n">
        <x:v>4.5</x:v>
      </x:c>
      <x:c r="P191" s="10" t="n">
        <x:v>4.5</x:v>
      </x:c>
      <x:c r="Q191" s="10" t="n">
        <x:v>3</x:v>
      </x:c>
      <x:c r="R191" s="10" t="n">
        <x:v>0</x:v>
      </x:c>
      <x:c r="S191" s="3" t="str">
        <x:v>In stock</x:v>
      </x:c>
      <x:c r="T191" s="12" t="d">
        <x:v>2026-10-25T00:00:00.000Z</x:v>
      </x:c>
      <x:c r="U191" s="3" t="str">
        <x:v>cr-185</x:v>
      </x:c>
      <x:c r="V191" s="3" t="str">
        <x:v>Official product label, visually verified: named creatine compound quantity; per100g stated or calculated from serving. 374g label used for same product/flavour in both pack sizes.</x:v>
      </x:c>
      <x:c r="W191" s="3"/>
      <x:c r="X191" s="3" t="str">
        <x:v>https://wellversed.in/products/wellcore-pure-micronised-creatine-monohydrate-374g-83-servings-lemon-lime?variant=48942462566652</x:v>
      </x:c>
      <x:c r="Y191" s="3" t="str">
        <x:v>https://cdn.shopify.com/s/files/1/0233/6459/9885/files/Left_LL83servings_Creatine_Listing_Wellcore.jpg?v=1775804194</x:v>
      </x:c>
      <x:c r="Z191" s="3" t="str">
        <x:v>Official product label, visually verified: named creatine compound quantity; per100g stated or calculated from serving.</x:v>
      </x:c>
      <x:c r="AA191" s="3" t="str">
        <x:v>Official label per100g energy or serving kcal × 100 / serving grams.</x:v>
      </x:c>
    </x:row>
    <x:row r="192" ht="44" customHeight="1">
      <x:c r="A192" s="3" t="str">
        <x:v>Wellcore</x:v>
      </x:c>
      <x:c r="B192" s="3" t="str">
        <x:v>Creatine Monohydrate</x:v>
      </x:c>
      <x:c r="C192" s="3" t="str">
        <x:v>Monohydrate</x:v>
      </x:c>
      <x:c r="D192" s="3" t="str">
        <x:v>Micronized</x:v>
      </x:c>
      <x:c r="E192" s="3" t="str">
        <x:v>Not specified</x:v>
      </x:c>
      <x:c r="F192" s="3" t="str">
        <x:v>Flavoured</x:v>
      </x:c>
      <x:c r="G192" s="3" t="str">
        <x:v>Tropical Tango</x:v>
      </x:c>
      <x:c r="H192" s="3" t="str">
        <x:v>Standard pack</x:v>
      </x:c>
      <x:c r="I192" s="13" t="n">
        <x:v>122</x:v>
      </x:c>
      <x:c r="J192" s="14" t="n">
        <x:v>610</x:v>
      </x:c>
      <x:c r="K192" s="11" t="n">
        <x:f>J192/I192</x:f>
        <x:v>5</x:v>
      </x:c>
      <x:c r="L192" s="13" t="n">
        <x:v>81.08108108108108</x:v>
      </x:c>
      <x:c r="M192" s="15" t="n">
        <x:f>IF(OR(L192="",L192=0),"",J192/(I192*L192/100))</x:f>
        <x:v>6.166666666666667</x:v>
      </x:c>
      <x:c r="N192" s="15" t="n">
        <x:f>IF(M192="","",M192*3)</x:f>
        <x:v>18.5</x:v>
      </x:c>
      <x:c r="O192" s="10" t="n">
        <x:v>3.7</x:v>
      </x:c>
      <x:c r="P192" s="10" t="n">
        <x:v>3.7</x:v>
      </x:c>
      <x:c r="Q192" s="10" t="n">
        <x:v>3</x:v>
      </x:c>
      <x:c r="R192" s="10" t="n">
        <x:v>0</x:v>
      </x:c>
      <x:c r="S192" s="3" t="str">
        <x:v>In stock</x:v>
      </x:c>
      <x:c r="T192" s="12" t="d">
        <x:v>2026-10-25T00:00:00.000Z</x:v>
      </x:c>
      <x:c r="U192" s="3" t="str">
        <x:v>cr-186</x:v>
      </x:c>
      <x:c r="V192" s="3" t="str">
        <x:v>Official product label, visually verified: named creatine compound quantity; per100g stated or calculated from serving. Same product/flavour label used across both pack sizes.</x:v>
      </x:c>
      <x:c r="W192" s="3"/>
      <x:c r="X192" s="3" t="str">
        <x:v>https://wellversed.in/products/wellcore-pure-micronised-creatine-monohydrate-122g-33-servings-lab-tested-tropical-tango-supports-athletic-performance-and-power?variant=46167639490812</x:v>
      </x:c>
      <x:c r="Y192" s="3" t="str">
        <x:v>https://cdn.shopify.com/s/files/1/0233/6459/9885/files/NI_33Serv_TropicalTangoCREATINE_LISTING_WELLCORE_WELLVERSED_61e8d26d-93c5-4be5-af6c-ee8cfdd40226.png?v=1730139739</x:v>
      </x:c>
      <x:c r="Z192" s="3" t="str">
        <x:v>Official product label, visually verified: named creatine compound quantity; per100g stated or calculated from serving.</x:v>
      </x:c>
      <x:c r="AA192" s="3" t="str">
        <x:v>Official label per100g energy or serving kcal × 100 / serving grams.</x:v>
      </x:c>
    </x:row>
    <x:row r="193" ht="44" customHeight="1">
      <x:c r="A193" s="3" t="str">
        <x:v>Wellcore</x:v>
      </x:c>
      <x:c r="B193" s="3" t="str">
        <x:v>Creatine Monohydrate</x:v>
      </x:c>
      <x:c r="C193" s="3" t="str">
        <x:v>Monohydrate</x:v>
      </x:c>
      <x:c r="D193" s="3" t="str">
        <x:v>Micronized</x:v>
      </x:c>
      <x:c r="E193" s="3" t="str">
        <x:v>Not specified</x:v>
      </x:c>
      <x:c r="F193" s="3" t="str">
        <x:v>Flavoured</x:v>
      </x:c>
      <x:c r="G193" s="3" t="str">
        <x:v>Tropical Tango</x:v>
      </x:c>
      <x:c r="H193" s="3" t="str">
        <x:v>Standard pack</x:v>
      </x:c>
      <x:c r="I193" s="13" t="n">
        <x:v>307</x:v>
      </x:c>
      <x:c r="J193" s="14" t="n">
        <x:v>1188</x:v>
      </x:c>
      <x:c r="K193" s="11" t="n">
        <x:f>J193/I193</x:f>
        <x:v>3.8697068403908794</x:v>
      </x:c>
      <x:c r="L193" s="13" t="n">
        <x:v>81.08108108108108</x:v>
      </x:c>
      <x:c r="M193" s="15" t="n">
        <x:f>IF(OR(L193="",L193=0),"",J193/(I193*L193/100))</x:f>
        <x:v>4.772638436482084</x:v>
      </x:c>
      <x:c r="N193" s="15" t="n">
        <x:f>IF(M193="","",M193*3)</x:f>
        <x:v>14.317915309446253</x:v>
      </x:c>
      <x:c r="O193" s="10" t="n">
        <x:v>3.7</x:v>
      </x:c>
      <x:c r="P193" s="10" t="n">
        <x:v>3.7</x:v>
      </x:c>
      <x:c r="Q193" s="10" t="n">
        <x:v>3</x:v>
      </x:c>
      <x:c r="R193" s="10" t="n">
        <x:v>0</x:v>
      </x:c>
      <x:c r="S193" s="3" t="str">
        <x:v>In stock</x:v>
      </x:c>
      <x:c r="T193" s="12" t="d">
        <x:v>2026-10-25T00:00:00.000Z</x:v>
      </x:c>
      <x:c r="U193" s="3" t="str">
        <x:v>cr-187</x:v>
      </x:c>
      <x:c r="V193" s="3" t="str">
        <x:v>Official product label, visually verified: named creatine compound quantity; per100g stated or calculated from serving. Same product/flavour label used across both pack sizes.</x:v>
      </x:c>
      <x:c r="W193" s="3"/>
      <x:c r="X193" s="3" t="str">
        <x:v>https://wellversed.in/products/wellcore-pure-micronised-creatine-monohydrate-307g-83servings-lab-tested-tropical-tango-supports-athletic-performance-and-power?variant=46167757979900</x:v>
      </x:c>
      <x:c r="Y193" s="3" t="str">
        <x:v>https://cdn.shopify.com/s/files/1/0233/6459/9885/files/NI_33Serv_TropicalTangoCREATINE_LISTING_WELLCORE_WELLVERSED_61e8d26d-93c5-4be5-af6c-ee8cfdd40226.png?v=1730139739</x:v>
      </x:c>
      <x:c r="Z193" s="3" t="str">
        <x:v>Official product label, visually verified: named creatine compound quantity; per100g stated or calculated from serving.</x:v>
      </x:c>
      <x:c r="AA193" s="3" t="str">
        <x:v>Official label per100g energy or serving kcal × 100 / serving grams.</x:v>
      </x:c>
    </x:row>
    <x:row r="194" ht="44" customHeight="1">
      <x:c r="A194" s="3" t="str">
        <x:v>Wellcore</x:v>
      </x:c>
      <x:c r="B194" s="3" t="str">
        <x:v>Creatine Monohydrate</x:v>
      </x:c>
      <x:c r="C194" s="3" t="str">
        <x:v>Monohydrate</x:v>
      </x:c>
      <x:c r="D194" s="3" t="str">
        <x:v>Micronized</x:v>
      </x:c>
      <x:c r="E194" s="3" t="str">
        <x:v>Not specified</x:v>
      </x:c>
      <x:c r="F194" s="3" t="str">
        <x:v>With antioxidant</x:v>
      </x:c>
      <x:c r="G194" s="3" t="str">
        <x:v>Unflavoured</x:v>
      </x:c>
      <x:c r="H194" s="3" t="str">
        <x:v>Standard pack</x:v>
      </x:c>
      <x:c r="I194" s="13" t="n">
        <x:v>100</x:v>
      </x:c>
      <x:c r="J194" s="14" t="n">
        <x:v>610</x:v>
      </x:c>
      <x:c r="K194" s="11" t="n">
        <x:f>J194/I194</x:f>
        <x:v>6.1</x:v>
      </x:c>
      <x:c r="L194" s="13" t="n">
        <x:v>100</x:v>
      </x:c>
      <x:c r="M194" s="15" t="n">
        <x:f>IF(OR(L194="",L194=0),"",J194/(I194*L194/100))</x:f>
        <x:v>6.1</x:v>
      </x:c>
      <x:c r="N194" s="15" t="n">
        <x:f>IF(M194="","",M194*3)</x:f>
        <x:v>18.299999999999997</x:v>
      </x:c>
      <x:c r="O194" s="10" t="n">
        <x:v>3</x:v>
      </x:c>
      <x:c r="P194" s="10" t="n">
        <x:v>3</x:v>
      </x:c>
      <x:c r="Q194" s="10" t="n">
        <x:v>3</x:v>
      </x:c>
      <x:c r="R194" s="10" t="n">
        <x:v>0</x:v>
      </x:c>
      <x:c r="S194" s="3" t="str">
        <x:v>In stock</x:v>
      </x:c>
      <x:c r="T194" s="12" t="d">
        <x:v>2026-10-25T00:00:00.000Z</x:v>
      </x:c>
      <x:c r="U194" s="3" t="str">
        <x:v>cr-188</x:v>
      </x:c>
      <x:c r="V194" s="3" t="str">
        <x:v>Official product label, visually verified: named creatine compound quantity; per100g stated or calculated from serving. Label includes antioxidant INS300. 3g compound / approx. 3g serving is rounded, not a 100% purity assay.</x:v>
      </x:c>
      <x:c r="W194" s="3"/>
      <x:c r="X194" s="3" t="str">
        <x:v>https://wellversed.in/products/wellcore-micronised-creatine-monohydrate-100g-33-servings-100-pure-creatine-unflavored-supports-athletic-performance-and-power?variant=44264495186172</x:v>
      </x:c>
      <x:c r="Y194" s="3" t="str">
        <x:v>https://cdn.shopify.com/s/files/1/0233/6459/9885/files/Left___Unflavoured-83servings___Creatine___Revamp-Listing___Wellcore.jpg?v=1787577862</x:v>
      </x:c>
      <x:c r="Z194" s="3" t="str">
        <x:v>Official product label, visually verified: named creatine compound quantity; per100g stated or calculated from serving.</x:v>
      </x:c>
      <x:c r="AA194" s="3" t="str">
        <x:v>Official label per100g energy or serving kcal × 100 / serving grams.</x:v>
      </x:c>
    </x:row>
    <x:row r="195" ht="44" customHeight="1">
      <x:c r="A195" s="3" t="str">
        <x:v>Wellcore</x:v>
      </x:c>
      <x:c r="B195" s="3" t="str">
        <x:v>Creatine Monohydrate</x:v>
      </x:c>
      <x:c r="C195" s="3" t="str">
        <x:v>Monohydrate</x:v>
      </x:c>
      <x:c r="D195" s="3" t="str">
        <x:v>Micronized</x:v>
      </x:c>
      <x:c r="E195" s="3" t="str">
        <x:v>Not specified</x:v>
      </x:c>
      <x:c r="F195" s="3" t="str">
        <x:v>With antioxidant</x:v>
      </x:c>
      <x:c r="G195" s="3" t="str">
        <x:v>Unflavoured</x:v>
      </x:c>
      <x:c r="H195" s="3" t="str">
        <x:v>Standard pack</x:v>
      </x:c>
      <x:c r="I195" s="13" t="n">
        <x:v>250</x:v>
      </x:c>
      <x:c r="J195" s="14" t="n">
        <x:v>1188</x:v>
      </x:c>
      <x:c r="K195" s="11" t="n">
        <x:f>J195/I195</x:f>
        <x:v>4.752</x:v>
      </x:c>
      <x:c r="L195" s="13" t="n">
        <x:v>100</x:v>
      </x:c>
      <x:c r="M195" s="15" t="n">
        <x:f>IF(OR(L195="",L195=0),"",J195/(I195*L195/100))</x:f>
        <x:v>4.752</x:v>
      </x:c>
      <x:c r="N195" s="15" t="n">
        <x:f>IF(M195="","",M195*3)</x:f>
        <x:v>14.256</x:v>
      </x:c>
      <x:c r="O195" s="10" t="n">
        <x:v>3</x:v>
      </x:c>
      <x:c r="P195" s="10" t="n">
        <x:v>3</x:v>
      </x:c>
      <x:c r="Q195" s="10" t="n">
        <x:v>3</x:v>
      </x:c>
      <x:c r="R195" s="10" t="n">
        <x:v>0</x:v>
      </x:c>
      <x:c r="S195" s="3" t="str">
        <x:v>In stock</x:v>
      </x:c>
      <x:c r="T195" s="12" t="d">
        <x:v>2026-10-25T00:00:00.000Z</x:v>
      </x:c>
      <x:c r="U195" s="3" t="str">
        <x:v>cr-189</x:v>
      </x:c>
      <x:c r="V195" s="3" t="str">
        <x:v>Official product label, visually verified: named creatine compound quantity; per100g stated or calculated from serving. Label includes antioxidant INS300. 3g compound / approx. 3g serving is rounded, not a 100% purity assay.</x:v>
      </x:c>
      <x:c r="W195" s="3"/>
      <x:c r="X195" s="3" t="str">
        <x:v>https://wellversed.in/products/wellcore-micronised-creatine-monohydrate-250g-83-servings-100-pure-creatine-unflavored-supports-athletic-performance-and-power?variant=47189202043132</x:v>
      </x:c>
      <x:c r="Y195" s="3" t="str">
        <x:v>https://cdn.shopify.com/s/files/1/0233/6459/9885/files/Left___Unflavoured-83servings___Creatine___Revamp-Listing___Wellcore.jpg?v=1787577862</x:v>
      </x:c>
      <x:c r="Z195" s="3" t="str">
        <x:v>Official product label, visually verified: named creatine compound quantity; per100g stated or calculated from serving.</x:v>
      </x:c>
      <x:c r="AA195" s="3" t="str">
        <x:v>Official label per100g energy or serving kcal × 100 / serving grams.</x:v>
      </x:c>
    </x:row>
    <x:row r="196" ht="44" customHeight="1">
      <x:c r="A196" s="3" t="str">
        <x:v>Wellcore</x:v>
      </x:c>
      <x:c r="B196" s="3" t="str">
        <x:v>Creatine Monohydrate</x:v>
      </x:c>
      <x:c r="C196" s="3" t="str">
        <x:v>Monohydrate</x:v>
      </x:c>
      <x:c r="D196" s="3" t="str">
        <x:v>Micronized</x:v>
      </x:c>
      <x:c r="E196" s="3" t="str">
        <x:v>Not specified</x:v>
      </x:c>
      <x:c r="F196" s="3" t="str">
        <x:v>Flavoured</x:v>
      </x:c>
      <x:c r="G196" s="3" t="str">
        <x:v>Watermelon Wave</x:v>
      </x:c>
      <x:c r="H196" s="3" t="str">
        <x:v>Standard pack</x:v>
      </x:c>
      <x:c r="I196" s="13" t="n">
        <x:v>122</x:v>
      </x:c>
      <x:c r="J196" s="14" t="n">
        <x:v>610</x:v>
      </x:c>
      <x:c r="K196" s="11" t="n">
        <x:f>J196/I196</x:f>
        <x:v>5</x:v>
      </x:c>
      <x:c r="L196" s="13" t="n">
        <x:v>81.08108108108108</x:v>
      </x:c>
      <x:c r="M196" s="15" t="n">
        <x:f>IF(OR(L196="",L196=0),"",J196/(I196*L196/100))</x:f>
        <x:v>6.166666666666667</x:v>
      </x:c>
      <x:c r="N196" s="15" t="n">
        <x:f>IF(M196="","",M196*3)</x:f>
        <x:v>18.5</x:v>
      </x:c>
      <x:c r="O196" s="10" t="n">
        <x:v>3.7</x:v>
      </x:c>
      <x:c r="P196" s="10" t="n">
        <x:v>3.7</x:v>
      </x:c>
      <x:c r="Q196" s="10" t="n">
        <x:v>3</x:v>
      </x:c>
      <x:c r="R196" s="10" t="n">
        <x:v>0</x:v>
      </x:c>
      <x:c r="S196" s="3" t="str">
        <x:v>In stock</x:v>
      </x:c>
      <x:c r="T196" s="12" t="d">
        <x:v>2026-10-25T00:00:00.000Z</x:v>
      </x:c>
      <x:c r="U196" s="3" t="str">
        <x:v>cr-190</x:v>
      </x:c>
      <x:c r="V196" s="3" t="str">
        <x:v>Official product label, visually verified: named creatine compound quantity; per100g stated or calculated from serving. Same product/flavour label used across both pack sizes.</x:v>
      </x:c>
      <x:c r="W196" s="3"/>
      <x:c r="X196" s="3" t="str">
        <x:v>https://wellversed.in/products/wellcore-pure-micronised-creatine-monohydrate-watermelon-wave-122g-33-servings?variant=48289470611708</x:v>
      </x:c>
      <x:c r="Y196" s="3" t="str">
        <x:v>https://cdn.shopify.com/s/files/1/0233/6459/9885/files/Left_WW33servings_Creatine_Listing_Wellcore_2.png?v=1766990522</x:v>
      </x:c>
      <x:c r="Z196" s="3" t="str">
        <x:v>Official product label, visually verified: named creatine compound quantity; per100g stated or calculated from serving.</x:v>
      </x:c>
      <x:c r="AA196" s="3" t="str">
        <x:v>Official label per100g energy or serving kcal × 100 / serving grams.</x:v>
      </x:c>
    </x:row>
    <x:row r="197" ht="44" customHeight="1">
      <x:c r="A197" s="3" t="str">
        <x:v>Wellcore</x:v>
      </x:c>
      <x:c r="B197" s="3" t="str">
        <x:v>Creatine Monohydrate</x:v>
      </x:c>
      <x:c r="C197" s="3" t="str">
        <x:v>Monohydrate</x:v>
      </x:c>
      <x:c r="D197" s="3" t="str">
        <x:v>Micronized</x:v>
      </x:c>
      <x:c r="E197" s="3" t="str">
        <x:v>Not specified</x:v>
      </x:c>
      <x:c r="F197" s="3" t="str">
        <x:v>Flavoured</x:v>
      </x:c>
      <x:c r="G197" s="3" t="str">
        <x:v>Watermelon Wave</x:v>
      </x:c>
      <x:c r="H197" s="3" t="str">
        <x:v>Standard pack</x:v>
      </x:c>
      <x:c r="I197" s="13" t="n">
        <x:v>307</x:v>
      </x:c>
      <x:c r="J197" s="14" t="n">
        <x:v>1188</x:v>
      </x:c>
      <x:c r="K197" s="11" t="n">
        <x:f>J197/I197</x:f>
        <x:v>3.8697068403908794</x:v>
      </x:c>
      <x:c r="L197" s="13" t="n">
        <x:v>81.08108108108108</x:v>
      </x:c>
      <x:c r="M197" s="15" t="n">
        <x:f>IF(OR(L197="",L197=0),"",J197/(I197*L197/100))</x:f>
        <x:v>4.772638436482084</x:v>
      </x:c>
      <x:c r="N197" s="15" t="n">
        <x:f>IF(M197="","",M197*3)</x:f>
        <x:v>14.317915309446253</x:v>
      </x:c>
      <x:c r="O197" s="10" t="n">
        <x:v>3.7</x:v>
      </x:c>
      <x:c r="P197" s="10" t="n">
        <x:v>3.7</x:v>
      </x:c>
      <x:c r="Q197" s="10" t="n">
        <x:v>3</x:v>
      </x:c>
      <x:c r="R197" s="10" t="n">
        <x:v>0</x:v>
      </x:c>
      <x:c r="S197" s="3" t="str">
        <x:v>In stock</x:v>
      </x:c>
      <x:c r="T197" s="12" t="d">
        <x:v>2026-10-25T00:00:00.000Z</x:v>
      </x:c>
      <x:c r="U197" s="3" t="str">
        <x:v>cr-191</x:v>
      </x:c>
      <x:c r="V197" s="3" t="str">
        <x:v>Official product label, visually verified: named creatine compound quantity; per100g stated or calculated from serving. Same product/flavour label used across both pack sizes.</x:v>
      </x:c>
      <x:c r="W197" s="3"/>
      <x:c r="X197" s="3" t="str">
        <x:v>https://wellversed.in/products/wellcore-pure-micronised-creatine-monohydrate-watermelon-wave-307g-83-servings?variant=48289467498748</x:v>
      </x:c>
      <x:c r="Y197" s="3" t="str">
        <x:v>https://cdn.shopify.com/s/files/1/0233/6459/9885/files/Left_WW33servings_Creatine_Listing_Wellcore_2.png?v=1766990522</x:v>
      </x:c>
      <x:c r="Z197" s="3" t="str">
        <x:v>Official product label, visually verified: named creatine compound quantity; per100g stated or calculated from serving.</x:v>
      </x:c>
      <x:c r="AA197" s="3" t="str">
        <x:v>Official label per100g energy or serving kcal × 100 / serving grams.</x:v>
      </x:c>
    </x:row>
    <x:row r="198" ht="44" customHeight="1">
      <x:c r="A198" s="3" t="str">
        <x:v>Wellcore</x:v>
      </x:c>
      <x:c r="B198" s="3" t="str">
        <x:v>Creatine Monohydrate for Women</x:v>
      </x:c>
      <x:c r="C198" s="3" t="str">
        <x:v>Monohydrate</x:v>
      </x:c>
      <x:c r="D198" s="3" t="str">
        <x:v>Micronized</x:v>
      </x:c>
      <x:c r="E198" s="3" t="str">
        <x:v>Not specified</x:v>
      </x:c>
      <x:c r="F198" s="3" t="str">
        <x:v>With vitamins and iron</x:v>
      </x:c>
      <x:c r="G198" s="3" t="str">
        <x:v>Cranberry Crush</x:v>
      </x:c>
      <x:c r="H198" s="3" t="str">
        <x:v>Standard pack</x:v>
      </x:c>
      <x:c r="I198" s="13" t="n">
        <x:v>134.5</x:v>
      </x:c>
      <x:c r="J198" s="14" t="n">
        <x:v>610</x:v>
      </x:c>
      <x:c r="K198" s="11" t="n">
        <x:f>J198/I198</x:f>
        <x:v>4.5353159851301115</x:v>
      </x:c>
      <x:c r="L198" s="13" t="n">
        <x:v>73.71007371007371</x:v>
      </x:c>
      <x:c r="M198" s="15" t="n">
        <x:f>IF(OR(L198="",L198=0),"",J198/(I198*L198/100))</x:f>
        <x:v>6.152912019826518</x:v>
      </x:c>
      <x:c r="N198" s="15" t="n">
        <x:f>IF(M198="","",M198*3)</x:f>
        <x:v>18.458736059479556</x:v>
      </x:c>
      <x:c r="O198" s="10" t="n">
        <x:v>4.07</x:v>
      </x:c>
      <x:c r="P198" s="10" t="n">
        <x:v>4.07</x:v>
      </x:c>
      <x:c r="Q198" s="10" t="n">
        <x:v>3</x:v>
      </x:c>
      <x:c r="R198" s="10" t="n">
        <x:v>0</x:v>
      </x:c>
      <x:c r="S198" s="3" t="str">
        <x:v>In stock</x:v>
      </x:c>
      <x:c r="T198" s="12" t="d">
        <x:v>2026-10-25T00:00:00.000Z</x:v>
      </x:c>
      <x:c r="U198" s="3" t="str">
        <x:v>cr-192</x:v>
      </x:c>
      <x:c r="V198" s="3" t="str">
        <x:v>Official product label, visually verified: named creatine compound quantity; per100g stated or calculated from serving. 338g label used for same product/flavour in both pack sizes. Contains iron and vitamins.</x:v>
      </x:c>
      <x:c r="W198" s="3"/>
      <x:c r="X198" s="3" t="str">
        <x:v>https://wellversed.in/products/wellcore-micronised-creatine-monohydrate-for-women-134-5g-33-servings-cranberry-crush?variant=51018087891196</x:v>
      </x:c>
      <x:c r="Y198" s="3" t="str">
        <x:v>https://cdn.shopify.com/s/files/1/0233/6459/9885/files/Left_CC83servings_Creatine_Listing_Wellcore.jpg?v=1787821855</x:v>
      </x:c>
      <x:c r="Z198" s="3" t="str">
        <x:v>Official product label, visually verified: named creatine compound quantity; per100g stated or calculated from serving.</x:v>
      </x:c>
      <x:c r="AA198" s="3" t="str">
        <x:v>Official label per100g energy or serving kcal × 100 / serving grams.</x:v>
      </x:c>
    </x:row>
    <x:row r="199" ht="44" customHeight="1">
      <x:c r="A199" s="3" t="str">
        <x:v>Wellcore</x:v>
      </x:c>
      <x:c r="B199" s="3" t="str">
        <x:v>Creatine Monohydrate for Women</x:v>
      </x:c>
      <x:c r="C199" s="3" t="str">
        <x:v>Monohydrate</x:v>
      </x:c>
      <x:c r="D199" s="3" t="str">
        <x:v>Micronized</x:v>
      </x:c>
      <x:c r="E199" s="3" t="str">
        <x:v>Not specified</x:v>
      </x:c>
      <x:c r="F199" s="3" t="str">
        <x:v>With vitamins and iron</x:v>
      </x:c>
      <x:c r="G199" s="3" t="str">
        <x:v>Cranberry Crush</x:v>
      </x:c>
      <x:c r="H199" s="3" t="str">
        <x:v>Standard pack</x:v>
      </x:c>
      <x:c r="I199" s="13" t="n">
        <x:v>338</x:v>
      </x:c>
      <x:c r="J199" s="14" t="n">
        <x:v>1188</x:v>
      </x:c>
      <x:c r="K199" s="11" t="n">
        <x:f>J199/I199</x:f>
        <x:v>3.514792899408284</x:v>
      </x:c>
      <x:c r="L199" s="13" t="n">
        <x:v>73.71007371007371</x:v>
      </x:c>
      <x:c r="M199" s="15" t="n">
        <x:f>IF(OR(L199="",L199=0),"",J199/(I199*L199/100))</x:f>
        <x:v>4.768402366863905</x:v>
      </x:c>
      <x:c r="N199" s="15" t="n">
        <x:f>IF(M199="","",M199*3)</x:f>
        <x:v>14.305207100591714</x:v>
      </x:c>
      <x:c r="O199" s="10" t="n">
        <x:v>4.07</x:v>
      </x:c>
      <x:c r="P199" s="10" t="n">
        <x:v>4.07</x:v>
      </x:c>
      <x:c r="Q199" s="10" t="n">
        <x:v>3</x:v>
      </x:c>
      <x:c r="R199" s="10" t="n">
        <x:v>0</x:v>
      </x:c>
      <x:c r="S199" s="3" t="str">
        <x:v>In stock</x:v>
      </x:c>
      <x:c r="T199" s="12" t="d">
        <x:v>2026-10-25T00:00:00.000Z</x:v>
      </x:c>
      <x:c r="U199" s="3" t="str">
        <x:v>cr-193</x:v>
      </x:c>
      <x:c r="V199" s="3" t="str">
        <x:v>Official product label, visually verified: named creatine compound quantity; per100g stated or calculated from serving. 338g label used for same product/flavour in both pack sizes. Contains iron and vitamins.</x:v>
      </x:c>
      <x:c r="W199" s="3"/>
      <x:c r="X199" s="3" t="str">
        <x:v>https://wellversed.in/products/wellcore-micronised-creatine-monohydrate-for-women-338g-83-servings-cranberry-crush?variant=51018096541948</x:v>
      </x:c>
      <x:c r="Y199" s="3" t="str">
        <x:v>https://cdn.shopify.com/s/files/1/0233/6459/9885/files/Left_CC83servings_Creatine_Listing_Wellcore.jpg?v=1787821855</x:v>
      </x:c>
      <x:c r="Z199" s="3" t="str">
        <x:v>Official product label, visually verified: named creatine compound quantity; per100g stated or calculated from serving.</x:v>
      </x:c>
      <x:c r="AA199" s="3" t="str">
        <x:v>Official label per100g energy or serving kcal × 100 / serving grams.</x:v>
      </x:c>
    </x:row>
  </x:sheetData>
  <x:mergeCells>
    <x:mergeCell ref="A1:V1"/>
    <x:mergeCell ref="A2:V2"/>
    <x:mergeCell ref="A3:V3"/>
  </x:mergeCells>
  <x:pageMargins left="0.7" right="0.7" top="0.75" bottom="0.75" header="0.3" footer="0.3"/>
  <x:tableParts count="1">
    <x:tablePart xmlns:r="http://schemas.openxmlformats.org/officeDocument/2006/relationships" r:id="R2fcefc2eccc54f6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13" hidden="0" customWidth="1"/>
  </x:cols>
  <x:sheetData>
    <x:row r="1" ht="32" customHeight="1">
      <x:c r="A1" s="20" t="str">
        <x:v>METHOD &amp; COVERAGE</x:v>
      </x:c>
      <x:c r="B1" s="20" t="str">
        <x:v>CREATINE CATALOG</x:v>
      </x:c>
    </x:row>
    <x:row r="2" ht="58" customHeight="1">
      <x:c r="A2" s="18" t="str">
        <x:v>Research date</x:v>
      </x:c>
      <x:c r="B2" s="18" t="str">
        <x:v>25 October 2026. Prices/stock are snapshots; confirm at checkout.</x:v>
      </x:c>
    </x:row>
    <x:row r="3" ht="58" customHeight="1">
      <x:c r="A3" s="18" t="str">
        <x:v>Pack selection</x:v>
      </x:c>
      <x:c r="B3" s="18" t="str">
        <x:v>Actual single-pack net weights, including small packs. No extrapolated 1kg/2kg/4kg prices. Excludes multipacks, accessory bundles, gifts, gummies and tablets.</x:v>
      </x:c>
    </x:row>
    <x:row r="4" ht="58" customHeight="1">
      <x:c r="A4" s="18" t="str">
        <x:v>Chemical form</x:v>
      </x:c>
      <x:c r="B4" s="18" t="str">
        <x:v>Monohydrate, hydrochloride (HCl), nitrate. HMB, taurine and piperine are co-ingredients, not chemical creatine forms.</x:v>
      </x:c>
    </x:row>
    <x:row r="5" ht="58" customHeight="1">
      <x:c r="A5" s="18" t="str">
        <x:v>Processing subclass</x:v>
      </x:c>
      <x:c r="B5" s="18" t="str">
        <x:v>Micronized, ultra-micronized, microfine and Nano 400 are brand descriptions. No unverified classification as normal, iso or concentrated. Not specified means not verified.</x:v>
      </x:c>
    </x:row>
    <x:row r="6" ht="58" customHeight="1">
      <x:c r="A6" s="18" t="str">
        <x:v>Ingredient trademark</x:v>
      </x:c>
      <x:c r="B6" s="18" t="str">
        <x:v>Creapure and Creasure are ingredient trademarks, not separate chemical forms. No inference of particle size or product concentration solely from a trademark.</x:v>
      </x:c>
    </x:row>
    <x:row r="7" ht="58" customHeight="1">
      <x:c r="A7" s="18" t="str">
        <x:v>Powder cost</x:v>
      </x:c>
      <x:c r="B7" s="18" t="str">
        <x:v>Pack price / labelled net pack grams. Available even when compound concentration is unknown.</x:v>
      </x:c>
    </x:row>
    <x:row r="8" ht="58" customHeight="1">
      <x:c r="A8" s="18" t="str">
        <x:v>Compound concentration</x:v>
      </x:c>
      <x:c r="B8" s="18" t="str">
        <x:v>Grams of the named creatine compound per 100g of finished powder. Explicit ingredient claims or paired serving/compound quantities; flavour-specific tables used where available.</x:v>
      </x:c>
    </x:row>
    <x:row r="9" ht="58" customHeight="1">
      <x:c r="A9" s="18" t="str">
        <x:v>Compound cost</x:v>
      </x:c>
      <x:c r="B9" s="18" t="str">
        <x:v>Price / (pack grams × compound g per 100g / 100). Not normalized to free-creatine equivalent; monohydrate includes water and HCl/nitrate includes counter-ion mass.</x:v>
      </x:c>
    </x:row>
    <x:row r="10" ht="58" customHeight="1">
      <x:c r="A10" s="18" t="str">
        <x:v>3g comparison cost</x:v>
      </x:c>
      <x:c r="B10" s="18" t="str">
        <x:v>3 × cost per gram of labelled compound. A comparison quantity only; not a dosage recommendation or equal-efficacy claim.</x:v>
      </x:c>
    </x:row>
    <x:row r="11" ht="58" customHeight="1">
      <x:c r="A11" s="18" t="str">
        <x:v>Nitrate example</x:v>
      </x:c>
      <x:c r="B11" s="18" t="str">
        <x:v>NutriJa states 2g nitrate compound in a 2g serving, and separately describes a 67% creatine / 33% nitrate composition. The cost denominator uses the full nitrate compound, not 67% free creatine.</x:v>
      </x:c>
    </x:row>
    <x:row r="12" ht="58" customHeight="1">
      <x:c r="A12" s="18" t="str">
        <x:v>Missing information</x:v>
      </x:c>
      <x:c r="B12" s="18" t="str">
        <x:v>Blank cells mean unverified, not zero or unavailable. No inferred zero calories. Brand serving claims may be rounded or inconsistent; evidence notes identify conflicts.</x:v>
      </x:c>
    </x:row>
    <x:row r="13" ht="58" customHeight="1">
      <x:c r="A13" s="18" t="str">
        <x:v>Scoop vs serving</x:v>
      </x:c>
      <x:c r="B13" s="18" t="str">
        <x:v>Scoop filled only where specified. Not inferred from number of servings, net weight, or ingredient amount. Review source notes for approximate scoop weights.</x:v>
      </x:c>
    </x:row>
    <x:row r="14" ht="58" customHeight="1">
      <x:c r="A14" s="18" t="str">
        <x:v>Price basis</x:v>
      </x:c>
      <x:c r="B14" s="18" t="str">
        <x:v>Official public selling prices before optional coupon codes, delivery, checkout adjustments or loyalty pricing. NutriJa uses exact child finalPrice including paise, while its headline rounds.</x:v>
      </x:c>
    </x:row>
    <x:row r="15" ht="58" customHeight="1">
      <x:c r="A15" s="18" t="str">
        <x:v>Availability</x:v>
      </x:c>
      <x:c r="B15" s="18" t="str">
        <x:v>Sold-out variants retained and labelled. Listed; confirm stock means no variant-level availability confirmation.</x:v>
      </x:c>
    </x:row>
    <x:row r="16" ht="58" customHeight="1">
      <x:c r="A16" s="18" t="str">
        <x:v>Coverage</x:v>
      </x:c>
      <x:c r="B16" s="18" t="str">
        <x:v>Research selection across brands available in India, not a sales ranking or exhaustive census. GNC canonical product families used to avoid duplicate obsolete landing offers.</x:v>
      </x:c>
    </x:row>
    <x:row r="17" ht="58" customHeight="1">
      <x:c r="A17" s="18" t="str">
        <x:v>Evidence location</x:v>
      </x:c>
      <x:c r="B17" s="18" t="str">
        <x:v>Product and nutrition URLs and calculation bases sit alongside the source inputs in columns X:AA of Creatine catalog.</x:v>
      </x:c>
    </x:row>
    <x:row r="18" ht="58" customHeight="1">
      <x:c r="A18" s="18" t="str">
        <x:v>Offers</x:v>
      </x:c>
      <x:c r="B18" s="18" t="n">
        <x:v>194</x:v>
      </x:c>
    </x:row>
    <x:row r="19" ht="58" customHeight="1">
      <x:c r="A19" s="18" t="str">
        <x:v>Brands</x:v>
      </x:c>
      <x:c r="B19" s="18" t="n">
        <x:v>17</x:v>
      </x:c>
    </x:row>
    <x:row r="20" ht="58" customHeight="1">
      <x:c r="A20" s="18" t="str">
        <x:v>Compound cost populated</x:v>
      </x:c>
      <x:c r="B20" s="18" t="n">
        <x:v>94</x:v>
      </x:c>
    </x:row>
    <x:row r="21" ht="58" customHeight="1">
      <x:c r="A21" s="18" t="str">
        <x:v>Scoop populated</x:v>
      </x:c>
      <x:c r="B21" s="18" t="n">
        <x:v>78</x:v>
      </x:c>
    </x:row>
    <x:row r="22" ht="58" customHeight="1">
      <x:c r="A22" s="18" t="str">
        <x:v>Energy populated</x:v>
      </x:c>
      <x:c r="B22" s="18" t="n">
        <x:v>44</x:v>
      </x:c>
    </x:row>
  </x:sheetData>
  <x:pageMargins left="0.7" right="0.7" top="0.75" bottom="0.75" header="0.3" footer="0.3"/>
</x:worksheet>
</file>